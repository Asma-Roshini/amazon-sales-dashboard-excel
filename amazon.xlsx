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hidePivotFieldList="1" defaultThemeVersion="166925"/>
  <mc:AlternateContent xmlns:mc="http://schemas.openxmlformats.org/markup-compatibility/2006">
    <mc:Choice Requires="x15">
      <x15ac:absPath xmlns:x15ac="http://schemas.microsoft.com/office/spreadsheetml/2010/11/ac" url="D:\working\waccache\MA1PEPF00008777\EXCELCNV\c6cf9dd9-b281-482c-b2f9-d78e3dc1b74e\"/>
    </mc:Choice>
  </mc:AlternateContent>
  <xr:revisionPtr revIDLastSave="0" documentId="8_{BAB926AC-8B02-4C46-8B2E-7D14EFC0D903}" xr6:coauthVersionLast="47" xr6:coauthVersionMax="47" xr10:uidLastSave="{00000000-0000-0000-0000-000000000000}"/>
  <bookViews>
    <workbookView xWindow="-60" yWindow="-60" windowWidth="15480" windowHeight="11640" xr2:uid="{BED97CA5-3732-4856-82EF-038CCE95A3EC}"/>
  </bookViews>
  <sheets>
    <sheet name="Sheet1" sheetId="2" r:id="rId1"/>
    <sheet name="Sheet2" sheetId="3" r:id="rId2"/>
    <sheet name="Sheet3" sheetId="4" r:id="rId3"/>
    <sheet name="Sheet4" sheetId="5" r:id="rId4"/>
    <sheet name="Dashboard" sheetId="6" r:id="rId5"/>
    <sheet name="in" sheetId="1" r:id="rId6"/>
  </sheets>
  <definedNames>
    <definedName name="Slicer_main_category">#N/A</definedName>
    <definedName name="Slicer_product_type">#N/A</definedName>
  </definedNames>
  <calcPr calcId="191028"/>
  <pivotCaches>
    <pivotCache cacheId="10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alcChain>
</file>

<file path=xl/sharedStrings.xml><?xml version="1.0" encoding="utf-8"?>
<sst xmlns="http://schemas.openxmlformats.org/spreadsheetml/2006/main" count="4241" uniqueCount="2957">
  <si>
    <t>AMAZON SALES DASHBOARD</t>
  </si>
  <si>
    <t>product_type</t>
  </si>
  <si>
    <t>Sum of rating_count</t>
  </si>
  <si>
    <t>Average of discounted_price</t>
  </si>
  <si>
    <t>Average of rating</t>
  </si>
  <si>
    <t>INALSA</t>
  </si>
  <si>
    <t>Instant</t>
  </si>
  <si>
    <t>Philips</t>
  </si>
  <si>
    <t>Pigeon</t>
  </si>
  <si>
    <t>Grand Total</t>
  </si>
  <si>
    <t>main_category</t>
  </si>
  <si>
    <t>Average of discount_percentage</t>
  </si>
  <si>
    <t>AirFryers</t>
  </si>
  <si>
    <t>product_id</t>
  </si>
  <si>
    <t>product_name</t>
  </si>
  <si>
    <t>category</t>
  </si>
  <si>
    <t>discounted_price</t>
  </si>
  <si>
    <t>actual_price</t>
  </si>
  <si>
    <t>discount_percentage</t>
  </si>
  <si>
    <t>rating</t>
  </si>
  <si>
    <t>rating_count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</si>
  <si>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</si>
  <si>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</si>
  <si>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</si>
  <si>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</si>
  <si>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</si>
  <si>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</si>
  <si>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</si>
  <si>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</si>
  <si>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</si>
  <si>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</si>
  <si>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</si>
  <si>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</si>
  <si>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</si>
  <si>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</si>
  <si>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</si>
  <si>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</si>
  <si>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</si>
  <si>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</si>
  <si>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19-115 Linux Kernel 2.6.18-4.4.3</t>
  </si>
  <si>
    <t>Computers&amp;Accessories|NetworkingDevices|NetworkAdapters|WirelessUSBAdapters</t>
  </si>
  <si>
    <t>1,79,691</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</si>
  <si>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</si>
  <si>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</si>
  <si>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</si>
  <si>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</si>
  <si>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</si>
  <si>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</si>
  <si>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</si>
  <si>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</si>
  <si>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Electronics|HomeTheater,TV&amp;Video|Accessories|Cables|HDMICables</t>
  </si>
  <si>
    <t>4,26,973</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</si>
  <si>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</si>
  <si>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</si>
  <si>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</si>
  <si>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</si>
  <si>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</si>
  <si>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</si>
  <si>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</si>
  <si>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</si>
  <si>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</si>
  <si>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</si>
  <si>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</si>
  <si>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</si>
  <si>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</si>
  <si>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</si>
  <si>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</si>
  <si>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</si>
  <si>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</si>
  <si>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</si>
  <si>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</si>
  <si>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</si>
  <si>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</si>
  <si>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</si>
  <si>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</si>
  <si>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</si>
  <si>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</si>
  <si>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</si>
  <si>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</si>
  <si>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</si>
  <si>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</si>
  <si>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</si>
  <si>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</si>
  <si>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</si>
  <si>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</si>
  <si>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</si>
  <si>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</si>
  <si>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</si>
  <si>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</si>
  <si>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</si>
  <si>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</si>
  <si>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</si>
  <si>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</si>
  <si>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</si>
  <si>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</si>
  <si>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</si>
  <si>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</si>
  <si>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</si>
  <si>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</si>
  <si>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</si>
  <si>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</si>
  <si>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</si>
  <si>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</si>
  <si>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</si>
  <si>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</si>
  <si>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</si>
  <si>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</si>
  <si>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</si>
  <si>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</si>
  <si>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1,07,687</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</si>
  <si>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</si>
  <si>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</si>
  <si>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</si>
  <si>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</si>
  <si>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</si>
  <si>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19-115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</si>
  <si>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</si>
  <si>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</si>
  <si>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</si>
  <si>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</si>
  <si>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</si>
  <si>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</si>
  <si>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</si>
  <si>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</si>
  <si>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</si>
  <si>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</si>
  <si>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</si>
  <si>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</si>
  <si>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</si>
  <si>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</si>
  <si>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</si>
  <si>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</si>
  <si>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</si>
  <si>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</si>
  <si>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</si>
  <si>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</si>
  <si>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</si>
  <si>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Electronics|HomeTheater,TV&amp;Video|Televisions|StandardTelevisions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</si>
  <si>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</si>
  <si>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</si>
  <si>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</si>
  <si>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</si>
  <si>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</si>
  <si>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19-115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</si>
  <si>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</si>
  <si>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</si>
  <si>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</si>
  <si>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</si>
  <si>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</si>
  <si>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</si>
  <si>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</si>
  <si>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</si>
  <si>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</si>
  <si>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</si>
  <si>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</si>
  <si>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</si>
  <si>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</si>
  <si>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</si>
  <si>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</si>
  <si>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</si>
  <si>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</si>
  <si>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</si>
  <si>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</si>
  <si>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</si>
  <si>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</si>
  <si>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</si>
  <si>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</si>
  <si>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</si>
  <si>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Electronics|HomeTheater,TV&amp;Video|Accessories|TVMounts,Stands&amp;Turntables|TVWall&amp;CeilingMounts</t>
  </si>
  <si>
    <t>B01GGKYKQM</t>
  </si>
  <si>
    <t>Amazon Basics USB Type-C to USB-A 2.0 Male Fast Charging Cable for Laptop - 3 Feet (9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</si>
  <si>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</si>
  <si>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</si>
  <si>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</si>
  <si>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</si>
  <si>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</si>
  <si>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</si>
  <si>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</si>
  <si>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</si>
  <si>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</si>
  <si>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</si>
  <si>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</si>
  <si>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</si>
  <si>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</si>
  <si>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</si>
  <si>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</si>
  <si>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</si>
  <si>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</si>
  <si>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</si>
  <si>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</si>
  <si>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</si>
  <si>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</si>
  <si>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</si>
  <si>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</si>
  <si>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</si>
  <si>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</si>
  <si>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</si>
  <si>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</si>
  <si>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</si>
  <si>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</si>
  <si>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</si>
  <si>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</si>
  <si>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</si>
  <si>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</si>
  <si>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</si>
  <si>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</si>
  <si>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</si>
  <si>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</si>
  <si>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</si>
  <si>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</si>
  <si>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</si>
  <si>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</si>
  <si>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</si>
  <si>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</si>
  <si>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</si>
  <si>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</si>
  <si>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</si>
  <si>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</si>
  <si>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</si>
  <si>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</si>
  <si>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</si>
  <si>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</si>
  <si>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</si>
  <si>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</si>
  <si>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</si>
  <si>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</si>
  <si>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</si>
  <si>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</si>
  <si>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</si>
  <si>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</si>
  <si>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</si>
  <si>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</si>
  <si>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</si>
  <si>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</si>
  <si>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</si>
  <si>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</si>
  <si>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</si>
  <si>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</si>
  <si>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</si>
  <si>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</si>
  <si>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</si>
  <si>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</si>
  <si>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</si>
  <si>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</si>
  <si>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</si>
  <si>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</si>
  <si>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</si>
  <si>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</si>
  <si>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</si>
  <si>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</si>
  <si>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</si>
  <si>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</si>
  <si>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</si>
  <si>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</si>
  <si>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</si>
  <si>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</si>
  <si>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</si>
  <si>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</si>
  <si>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</si>
  <si>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</si>
  <si>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</si>
  <si>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</si>
  <si>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</si>
  <si>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</si>
  <si>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</si>
  <si>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</si>
  <si>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</si>
  <si>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</si>
  <si>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</si>
  <si>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</si>
  <si>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</si>
  <si>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</si>
  <si>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</si>
  <si>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</si>
  <si>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</si>
  <si>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</si>
  <si>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</si>
  <si>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</si>
  <si>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</si>
  <si>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</si>
  <si>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</si>
  <si>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</si>
  <si>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</si>
  <si>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</si>
  <si>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</si>
  <si>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</si>
  <si>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</si>
  <si>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</si>
  <si>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</si>
  <si>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</si>
  <si>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</si>
  <si>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</si>
  <si>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</si>
  <si>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</si>
  <si>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</si>
  <si>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</si>
  <si>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</si>
  <si>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</si>
  <si>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</si>
  <si>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</si>
  <si>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</si>
  <si>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</si>
  <si>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</si>
  <si>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</si>
  <si>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</si>
  <si>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</si>
  <si>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</si>
  <si>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</si>
  <si>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</si>
  <si>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</si>
  <si>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</si>
  <si>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</si>
  <si>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</si>
  <si>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</si>
  <si>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</si>
  <si>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</si>
  <si>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</si>
  <si>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</si>
  <si>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</si>
  <si>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</si>
  <si>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</si>
  <si>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1,79,692</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</si>
  <si>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</si>
  <si>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</si>
  <si>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</si>
  <si>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</si>
  <si>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</si>
  <si>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</si>
  <si>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</si>
  <si>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</si>
  <si>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</si>
  <si>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</si>
  <si>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</si>
  <si>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</si>
  <si>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</si>
  <si>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</si>
  <si>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</si>
  <si>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</si>
  <si>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</si>
  <si>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</si>
  <si>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</si>
  <si>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</si>
  <si>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</si>
  <si>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</si>
  <si>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</si>
  <si>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</si>
  <si>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</si>
  <si>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</si>
  <si>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</si>
  <si>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</si>
  <si>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</si>
  <si>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</si>
  <si>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</si>
  <si>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</si>
  <si>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</si>
  <si>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</si>
  <si>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</si>
  <si>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</si>
  <si>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</si>
  <si>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</si>
  <si>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</si>
  <si>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</si>
  <si>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</si>
  <si>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</si>
  <si>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</si>
  <si>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</si>
  <si>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</si>
  <si>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</si>
  <si>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</si>
  <si>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</si>
  <si>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</si>
  <si>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</si>
  <si>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</si>
  <si>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</si>
  <si>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</si>
  <si>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</si>
  <si>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</si>
  <si>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</si>
  <si>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</si>
  <si>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</si>
  <si>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</si>
  <si>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</si>
  <si>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</si>
  <si>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</si>
  <si>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</si>
  <si>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</si>
  <si>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</si>
  <si>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</si>
  <si>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</si>
  <si>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</si>
  <si>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</si>
  <si>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</si>
  <si>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</si>
  <si>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</si>
  <si>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</si>
  <si>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</si>
  <si>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</si>
  <si>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</si>
  <si>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</si>
  <si>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</si>
  <si>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</si>
  <si>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</si>
  <si>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</si>
  <si>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</si>
  <si>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</si>
  <si>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</si>
  <si>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</si>
  <si>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</si>
  <si>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</si>
  <si>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</si>
  <si>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</si>
  <si>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</si>
  <si>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</si>
  <si>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</si>
  <si>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</si>
  <si>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</si>
  <si>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</si>
  <si>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</si>
  <si>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</si>
  <si>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</si>
  <si>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1,78,817</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</si>
  <si>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</si>
  <si>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</si>
  <si>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</si>
  <si>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</si>
  <si>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</si>
  <si>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</si>
  <si>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</si>
  <si>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</si>
  <si>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</si>
  <si>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</si>
  <si>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</si>
  <si>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</si>
  <si>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</si>
  <si>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</si>
  <si>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</si>
  <si>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</si>
  <si>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</si>
  <si>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</si>
  <si>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</si>
  <si>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</si>
  <si>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</si>
  <si>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</si>
  <si>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</si>
  <si>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</si>
  <si>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</si>
  <si>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</si>
  <si>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</si>
  <si>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</si>
  <si>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</si>
  <si>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</si>
  <si>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</si>
  <si>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</si>
  <si>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</si>
  <si>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</si>
  <si>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</si>
  <si>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</si>
  <si>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</si>
  <si>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</si>
  <si>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</si>
  <si>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</si>
  <si>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</si>
  <si>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</si>
  <si>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</si>
  <si>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</si>
  <si>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</si>
  <si>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</si>
  <si>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</si>
  <si>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</si>
  <si>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</si>
  <si>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</si>
  <si>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</si>
  <si>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</si>
  <si>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</si>
  <si>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</si>
  <si>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Electronics|HomeAudio|Accessories|Adapters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</si>
  <si>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</si>
  <si>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</si>
  <si>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</si>
  <si>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</si>
  <si>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</si>
  <si>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</si>
  <si>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</si>
  <si>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</si>
  <si>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</si>
  <si>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</si>
  <si>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</si>
  <si>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</si>
  <si>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</si>
  <si>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</si>
  <si>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</si>
  <si>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</si>
  <si>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</si>
  <si>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</si>
  <si>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</si>
  <si>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</si>
  <si>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</si>
  <si>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</si>
  <si>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</si>
  <si>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</si>
  <si>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</si>
  <si>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</si>
  <si>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</si>
  <si>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</si>
  <si>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</si>
  <si>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</si>
  <si>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</si>
  <si>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</si>
  <si>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</si>
  <si>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</si>
  <si>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</si>
  <si>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</si>
  <si>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</si>
  <si>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</si>
  <si>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</si>
  <si>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</si>
  <si>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</si>
  <si>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</si>
  <si>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</si>
  <si>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</si>
  <si>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Electronics|HomeTheater,TV&amp;Video|Accessories|Cables|SpeakerCables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</si>
  <si>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</si>
  <si>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</si>
  <si>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</si>
  <si>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</si>
  <si>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</si>
  <si>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</si>
  <si>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</si>
  <si>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</si>
  <si>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</si>
  <si>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</si>
  <si>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</si>
  <si>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</si>
  <si>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</si>
  <si>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</si>
  <si>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</si>
  <si>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</si>
  <si>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</si>
  <si>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</si>
  <si>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</si>
  <si>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</si>
  <si>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1,39,900</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</si>
  <si>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</si>
  <si>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</si>
  <si>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</si>
  <si>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</si>
  <si>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</si>
  <si>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</si>
  <si>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</si>
  <si>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</si>
  <si>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</si>
  <si>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</si>
  <si>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</si>
  <si>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</si>
  <si>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</si>
  <si>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</si>
  <si>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</si>
  <si>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</si>
  <si>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</si>
  <si>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</si>
  <si>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</si>
  <si>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</si>
  <si>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</si>
  <si>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</si>
  <si>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</si>
  <si>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</si>
  <si>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</si>
  <si>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</si>
  <si>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</si>
  <si>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</si>
  <si>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</si>
  <si>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</si>
  <si>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Electronics|HomeAudio|MediaStreamingDevices|StreamingClients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</si>
  <si>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</si>
  <si>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</si>
  <si>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</si>
  <si>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</si>
  <si>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</si>
  <si>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</si>
  <si>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</si>
  <si>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</si>
  <si>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Electronics|HomeTheater,TV&amp;Video|AVReceivers&amp;Amplifiers</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</si>
  <si>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</si>
  <si>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</si>
  <si>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</si>
  <si>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</si>
  <si>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</si>
  <si>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</si>
  <si>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</si>
  <si>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</si>
  <si>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</si>
  <si>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</si>
  <si>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</si>
  <si>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</si>
  <si>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</si>
  <si>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</si>
  <si>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</si>
  <si>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</si>
  <si>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</si>
  <si>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</si>
  <si>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</si>
  <si>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</si>
  <si>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</si>
  <si>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</si>
  <si>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</si>
  <si>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</si>
  <si>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</si>
  <si>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</si>
  <si>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</si>
  <si>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</si>
  <si>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</si>
  <si>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</si>
  <si>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</si>
  <si>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</si>
  <si>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</si>
  <si>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</si>
  <si>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</si>
  <si>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</si>
  <si>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</si>
  <si>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</si>
  <si>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</si>
  <si>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</si>
  <si>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</si>
  <si>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</si>
  <si>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</si>
  <si>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</si>
  <si>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</si>
  <si>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</si>
  <si>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</si>
  <si>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</si>
  <si>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</si>
  <si>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</si>
  <si>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</si>
  <si>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</si>
  <si>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</si>
  <si>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</si>
  <si>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</si>
  <si>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</si>
  <si>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</si>
  <si>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</si>
  <si>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</si>
  <si>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</si>
  <si>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</si>
  <si>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</si>
  <si>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</si>
  <si>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</si>
  <si>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</si>
  <si>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</si>
  <si>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</si>
  <si>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</si>
  <si>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</si>
  <si>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</si>
  <si>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</si>
  <si>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</si>
  <si>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</si>
  <si>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</si>
  <si>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</si>
  <si>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</si>
  <si>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</si>
  <si>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</si>
  <si>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</si>
  <si>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</si>
  <si>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</si>
  <si>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</si>
  <si>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</si>
  <si>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</si>
  <si>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</si>
  <si>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</si>
  <si>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</si>
  <si>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</si>
  <si>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</si>
  <si>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</si>
  <si>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</si>
  <si>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</si>
  <si>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</si>
  <si>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</si>
  <si>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</si>
  <si>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</si>
  <si>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</si>
  <si>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</si>
  <si>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</si>
  <si>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</si>
  <si>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</si>
  <si>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</si>
  <si>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</si>
  <si>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</si>
  <si>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</si>
  <si>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</si>
  <si>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</si>
  <si>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</si>
  <si>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</si>
  <si>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</si>
  <si>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</si>
  <si>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</si>
  <si>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</si>
  <si>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</si>
  <si>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</si>
  <si>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</si>
  <si>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</si>
  <si>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</si>
  <si>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</si>
  <si>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</si>
  <si>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</si>
  <si>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</si>
  <si>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</si>
  <si>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</si>
  <si>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</si>
  <si>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</si>
  <si>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</si>
  <si>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</si>
  <si>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</si>
  <si>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</si>
  <si>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</si>
  <si>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</si>
  <si>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</si>
  <si>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</si>
  <si>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</si>
  <si>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</si>
  <si>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</si>
  <si>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</si>
  <si>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</si>
  <si>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Electronics|Mobiles&amp;Accessories|MobileAccessories|Chargers|PowerBanks</t>
  </si>
  <si>
    <t>1,78,912</t>
  </si>
  <si>
    <t>B0BBN4DZBD</t>
  </si>
  <si>
    <t>Redmi A1 (Light Blue, 2GB RAM, 32GB Storage) | Segment Best AI Dual Cam | 5000mAh Battery | Leather Texture Design | Android 12</t>
  </si>
  <si>
    <t>Electronics|Mobiles&amp;Accessories|Smartphones&amp;BasicMobiles|Smartphones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</si>
  <si>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</si>
  <si>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</si>
  <si>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</si>
  <si>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</si>
  <si>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</si>
  <si>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</si>
  <si>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</si>
  <si>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</si>
  <si>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</si>
  <si>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</si>
  <si>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</si>
  <si>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</si>
  <si>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</si>
  <si>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</si>
  <si>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</si>
  <si>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Electronics|Mobiles&amp;Accessories|Smartphones&amp;BasicMobiles|BasicMobiles</t>
  </si>
  <si>
    <t>1,28,311</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</si>
  <si>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</si>
  <si>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</si>
  <si>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</si>
  <si>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</si>
  <si>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Electronics|Headphones,Earbuds&amp;Accessories|Headphones|In-Ear</t>
  </si>
  <si>
    <t>1,92,590</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</si>
  <si>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</si>
  <si>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</si>
  <si>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</si>
  <si>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</si>
  <si>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</si>
  <si>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</si>
  <si>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</si>
  <si>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</si>
  <si>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</si>
  <si>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</si>
  <si>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</si>
  <si>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3,63,713</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</si>
  <si>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</si>
  <si>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</si>
  <si>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</si>
  <si>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</si>
  <si>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</si>
  <si>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</si>
  <si>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</si>
  <si>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</si>
  <si>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</si>
  <si>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</si>
  <si>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</si>
  <si>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</si>
  <si>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</si>
  <si>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</si>
  <si>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</si>
  <si>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</si>
  <si>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</si>
  <si>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</si>
  <si>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</si>
  <si>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</si>
  <si>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</si>
  <si>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</si>
  <si>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</si>
  <si>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</si>
  <si>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</si>
  <si>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</si>
  <si>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</si>
  <si>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</si>
  <si>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</si>
  <si>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</si>
  <si>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</si>
  <si>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</si>
  <si>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</si>
  <si>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</si>
  <si>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3,13,836</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</si>
  <si>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</si>
  <si>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</si>
  <si>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</si>
  <si>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</si>
  <si>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</si>
  <si>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</si>
  <si>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</si>
  <si>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</si>
  <si>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</si>
  <si>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</si>
  <si>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</si>
  <si>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</si>
  <si>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</si>
  <si>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</si>
  <si>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</si>
  <si>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</si>
  <si>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</si>
  <si>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</si>
  <si>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</si>
  <si>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</si>
  <si>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</si>
  <si>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</si>
  <si>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</si>
  <si>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</si>
  <si>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</si>
  <si>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</si>
  <si>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</si>
  <si>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</si>
  <si>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</si>
  <si>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</si>
  <si>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</si>
  <si>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</si>
  <si>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</si>
  <si>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</si>
  <si>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</si>
  <si>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</si>
  <si>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</si>
  <si>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</si>
  <si>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</si>
  <si>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</si>
  <si>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</si>
  <si>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</si>
  <si>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</si>
  <si>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</si>
  <si>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</si>
  <si>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</si>
  <si>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1,40,036</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</si>
  <si>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</si>
  <si>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</si>
  <si>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</si>
  <si>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</si>
  <si>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</si>
  <si>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</si>
  <si>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</si>
  <si>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</si>
  <si>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</si>
  <si>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</si>
  <si>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</si>
  <si>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</si>
  <si>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</si>
  <si>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</si>
  <si>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</si>
  <si>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</si>
  <si>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</si>
  <si>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</si>
  <si>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</si>
  <si>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</si>
  <si>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</si>
  <si>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</si>
  <si>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</si>
  <si>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</si>
  <si>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</si>
  <si>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</si>
  <si>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</si>
  <si>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</si>
  <si>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</si>
  <si>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</si>
  <si>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</si>
  <si>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</si>
  <si>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</si>
  <si>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</si>
  <si>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</si>
  <si>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</si>
  <si>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</si>
  <si>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</si>
  <si>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</si>
  <si>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</si>
  <si>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</si>
  <si>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</si>
  <si>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</si>
  <si>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</si>
  <si>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</si>
  <si>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</si>
  <si>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</si>
  <si>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</si>
  <si>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</si>
  <si>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</si>
  <si>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</si>
  <si>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</si>
  <si>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</si>
  <si>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</si>
  <si>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</si>
  <si>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</si>
  <si>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</si>
  <si>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</si>
  <si>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</si>
  <si>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</si>
  <si>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</si>
  <si>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</si>
  <si>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</si>
  <si>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</si>
  <si>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</si>
  <si>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</si>
  <si>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</si>
  <si>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</si>
  <si>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</si>
  <si>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</si>
  <si>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</si>
  <si>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1,61,679</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</si>
  <si>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</si>
  <si>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</si>
  <si>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</si>
  <si>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</si>
  <si>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</si>
  <si>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</si>
  <si>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</si>
  <si>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</si>
  <si>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</si>
  <si>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</si>
  <si>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</si>
  <si>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</si>
  <si>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</si>
  <si>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</si>
  <si>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</si>
  <si>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</si>
  <si>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</si>
  <si>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</si>
  <si>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</si>
  <si>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</si>
  <si>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</si>
  <si>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</si>
  <si>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</si>
  <si>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</si>
  <si>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</si>
  <si>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</si>
  <si>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</si>
  <si>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</si>
  <si>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</si>
  <si>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</si>
  <si>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</si>
  <si>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</si>
  <si>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</si>
  <si>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</si>
  <si>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</si>
  <si>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</si>
  <si>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</si>
  <si>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</si>
  <si>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</si>
  <si>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</si>
  <si>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</si>
  <si>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</si>
  <si>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</si>
  <si>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</si>
  <si>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</si>
  <si>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</si>
  <si>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</si>
  <si>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</si>
  <si>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</si>
  <si>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</si>
  <si>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</si>
  <si>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</si>
  <si>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</si>
  <si>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</si>
  <si>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</si>
  <si>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</si>
  <si>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</si>
  <si>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</si>
  <si>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</si>
  <si>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B09GFM8CGS</t>
  </si>
  <si>
    <t>Redmi 9A Sport (Carbon Black, 2GB RAM, 32GB Storage) | 2GHz Octa-core Helio G25 Processor | 5000 mAh Battery</t>
  </si>
  <si>
    <t>3,13,832</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</si>
  <si>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</si>
  <si>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</si>
  <si>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</si>
  <si>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</si>
  <si>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</si>
  <si>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</si>
  <si>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</si>
  <si>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</si>
  <si>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</si>
  <si>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</si>
  <si>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</si>
  <si>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1,92,589</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</si>
  <si>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</si>
  <si>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</si>
  <si>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</si>
  <si>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</si>
  <si>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</si>
  <si>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</si>
  <si>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</si>
  <si>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</si>
  <si>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</si>
  <si>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</si>
  <si>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</si>
  <si>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</si>
  <si>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</si>
  <si>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</si>
  <si>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</si>
  <si>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</si>
  <si>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</si>
  <si>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</si>
  <si>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</si>
  <si>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</si>
  <si>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</si>
  <si>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</si>
  <si>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</si>
  <si>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</si>
  <si>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</si>
  <si>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</si>
  <si>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</si>
  <si>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</si>
  <si>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</si>
  <si>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</si>
  <si>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</si>
  <si>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</si>
  <si>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</si>
  <si>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</si>
  <si>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</si>
  <si>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</si>
  <si>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</si>
  <si>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</si>
  <si>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</si>
  <si>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</si>
  <si>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</si>
  <si>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</si>
  <si>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</si>
  <si>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</si>
  <si>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</si>
  <si>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</si>
  <si>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</si>
  <si>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</si>
  <si>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</si>
  <si>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</si>
  <si>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</si>
  <si>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</si>
  <si>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</si>
  <si>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</si>
  <si>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</si>
  <si>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</si>
  <si>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</si>
  <si>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</si>
  <si>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</si>
  <si>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</si>
  <si>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</si>
  <si>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</si>
  <si>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</si>
  <si>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</si>
  <si>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</si>
  <si>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</si>
  <si>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</si>
  <si>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</si>
  <si>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</si>
  <si>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</si>
  <si>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</si>
  <si>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</si>
  <si>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</si>
  <si>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</si>
  <si>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</si>
  <si>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</si>
  <si>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</si>
  <si>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</si>
  <si>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</si>
  <si>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</si>
  <si>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</si>
  <si>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</si>
  <si>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</si>
  <si>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</si>
  <si>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</si>
  <si>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</si>
  <si>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</si>
  <si>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</si>
  <si>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</si>
  <si>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</si>
  <si>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</si>
  <si>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</si>
  <si>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</si>
  <si>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</si>
  <si>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</si>
  <si>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</si>
  <si>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</si>
  <si>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</si>
  <si>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</si>
  <si>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</si>
  <si>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</si>
  <si>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</si>
  <si>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</si>
  <si>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</si>
  <si>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Electronics|Headphones,Earbuds&amp;Accessories|Headphones|On-Ear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</si>
  <si>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</si>
  <si>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</si>
  <si>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</si>
  <si>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</si>
  <si>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</si>
  <si>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</si>
  <si>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</si>
  <si>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</si>
  <si>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</si>
  <si>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</si>
  <si>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</si>
  <si>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</si>
  <si>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</si>
  <si>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</si>
  <si>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</si>
  <si>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</si>
  <si>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</si>
  <si>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</si>
  <si>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</si>
  <si>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</si>
  <si>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</si>
  <si>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</si>
  <si>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</si>
  <si>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</si>
  <si>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</si>
  <si>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</si>
  <si>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</si>
  <si>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</si>
  <si>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</si>
  <si>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</si>
  <si>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</si>
  <si>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Electronics|Headphones,Earbuds&amp;Accessories|Adapters</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</si>
  <si>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</si>
  <si>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</si>
  <si>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</si>
  <si>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</si>
  <si>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</si>
  <si>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</si>
  <si>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</si>
  <si>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</si>
  <si>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</si>
  <si>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Electronics|Mobiles&amp;Accessories|MobileAccessories|DÃ©cor|PhoneCharms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</si>
  <si>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</si>
  <si>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</si>
  <si>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</si>
  <si>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</si>
  <si>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</si>
  <si>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</si>
  <si>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</si>
  <si>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</si>
  <si>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</si>
  <si>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</si>
  <si>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</si>
  <si>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</si>
  <si>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</si>
  <si>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</si>
  <si>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</si>
  <si>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</si>
  <si>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</si>
  <si>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</si>
  <si>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</si>
  <si>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</si>
  <si>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</si>
  <si>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</si>
  <si>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</si>
  <si>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</si>
  <si>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</si>
  <si>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</si>
  <si>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</si>
  <si>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</si>
  <si>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</si>
  <si>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</si>
  <si>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</si>
  <si>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</si>
  <si>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</si>
  <si>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</si>
  <si>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</si>
  <si>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</si>
  <si>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</si>
  <si>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</si>
  <si>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</si>
  <si>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</si>
  <si>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</si>
  <si>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</si>
  <si>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</si>
  <si>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</si>
  <si>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</si>
  <si>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</si>
  <si>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3,63,711</t>
  </si>
  <si>
    <t>B09N3ZNHTY</t>
  </si>
  <si>
    <t>boAt Airdopes 141 Bluetooth Truly Wireless in Ear Earbuds with mic, 42H Playtime, Beast Mode(Low Latency Upto 80ms) for Gaming, ENx Tech, ASAP Charge, IWP, IPX4 Water Resistance (Bold Black)</t>
  </si>
  <si>
    <t>1,36,954</t>
  </si>
  <si>
    <t>B005FYNT3G</t>
  </si>
  <si>
    <t>SanDisk Cruzer Blade 32GB USB Flash Drive</t>
  </si>
  <si>
    <t>Computers&amp;Accessories|ExternalDevices&amp;DataStorage|PenDrives</t>
  </si>
  <si>
    <t>2,53,105</t>
  </si>
  <si>
    <t>B01J0XWYKQ</t>
  </si>
  <si>
    <t>Logitech B170 Wireless Mouse, 2.4 GHz with USB Nano Receiver, Optical Tracking, 12-Months Battery Life, Ambidextrous, PC/Mac/Laptop - Black</t>
  </si>
  <si>
    <t>Computers&amp;Accessories|Accessories&amp;Peripherals|Keyboards,Mice&amp;InputDevices|Mice</t>
  </si>
  <si>
    <t>B09CTRPSJR</t>
  </si>
  <si>
    <t>Storio Kids Toys LCD Writing Tablet 8.5Inch E-Note Pad Best Birthday Gift for Girls Boys, Multicolor (SC1667)</t>
  </si>
  <si>
    <t>Computers&amp;Accessories|Accessories&amp;Peripherals|Keyboards,Mice&amp;InputDevices|GraphicTablets</t>
  </si>
  <si>
    <t>B08JQN8DGZ</t>
  </si>
  <si>
    <t>boAt Airdopes 121v2 in-Ear True Wireless Earbuds with Upto 14 Hours Playback, 8MM Drivers, Battery Indicators, Lightweight Earbuds &amp; Multifunction Controls (Active Black, with Mic)</t>
  </si>
  <si>
    <t>1,80,998</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</si>
  <si>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</si>
  <si>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</si>
  <si>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</si>
  <si>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</si>
  <si>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</si>
  <si>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1,41,841</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</si>
  <si>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</si>
  <si>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</si>
  <si>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</si>
  <si>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</si>
  <si>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</si>
  <si>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1,92,587</t>
  </si>
  <si>
    <t>B07PR1CL3S</t>
  </si>
  <si>
    <t>boAt Rockerz 450 Bluetooth On Ear Headphones with Mic, Upto 15 Hours Playback, 40MM Drivers, Padded Ear Cushions, Integrated Controls and Dual Modes(Luscious Black)</t>
  </si>
  <si>
    <t>1,07,151</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</si>
  <si>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</si>
  <si>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</si>
  <si>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</si>
  <si>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</si>
  <si>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</si>
  <si>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</si>
  <si>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</si>
  <si>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</si>
  <si>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</si>
  <si>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</si>
  <si>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</si>
  <si>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</si>
  <si>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</si>
  <si>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</si>
  <si>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</si>
  <si>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</si>
  <si>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</si>
  <si>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</si>
  <si>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</si>
  <si>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</si>
  <si>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B014SZO90Y</t>
  </si>
  <si>
    <t>Duracell Ultra Alkaline AA Battery, 8 Pcs</t>
  </si>
  <si>
    <t>Electronics|GeneralPurposeBatteries&amp;BatteryChargers|DisposableBatteries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</si>
  <si>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</si>
  <si>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</si>
  <si>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</si>
  <si>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B00N1U9AJS</t>
  </si>
  <si>
    <t>3M Scotch Double Sided Heavy Duty Tape(1m holds 4.5Kgs) for indoor hanging applications (Photo frames, Mirrors, Key Holders, Car Interiors, Extension Boards, Wall decoration, etc)(L: 3m, W: 24mm)</t>
  </si>
  <si>
    <t>Home&amp;Kitchen|CraftMaterials|Scrapbooking|Tape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</si>
  <si>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</si>
  <si>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</si>
  <si>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</si>
  <si>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</si>
  <si>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</si>
  <si>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</si>
  <si>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</si>
  <si>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B08ZJDWTJ1</t>
  </si>
  <si>
    <t>Seagate Expansion 1TB External HDD - USB 3.0 for Windows and Mac with 3 yr Data Recovery Services, Portable Hard Drive (STKM1000400)</t>
  </si>
  <si>
    <t>Computers&amp;Accessories|ExternalDevices&amp;DataStorage|ExternalHardDisks</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</si>
  <si>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</si>
  <si>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</si>
  <si>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</si>
  <si>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</si>
  <si>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</si>
  <si>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</si>
  <si>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</si>
  <si>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</si>
  <si>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</si>
  <si>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</si>
  <si>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</si>
  <si>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</si>
  <si>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</si>
  <si>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</si>
  <si>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</si>
  <si>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</si>
  <si>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1,09,864</t>
  </si>
  <si>
    <t>B0846D5CBP</t>
  </si>
  <si>
    <t>Casio FX-991ES Plus-2nd Edition Scientific Calculator, Black</t>
  </si>
  <si>
    <t>OfficeProducts|OfficeElectronics|Calculators|Scientific</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</si>
  <si>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</si>
  <si>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</si>
  <si>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</si>
  <si>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B08H9Z3XQW</t>
  </si>
  <si>
    <t>boAt Bassheads 242 in Ear Wired Earphones with Mic(Blue)</t>
  </si>
  <si>
    <t>1,61,677</t>
  </si>
  <si>
    <t>B08LPJZSSW</t>
  </si>
  <si>
    <t>DIGITEKÂ® (DTR 260 GT) Gorilla Tripod/Mini 33 cm (13 Inch) Tripod for Mobile Phone with Phone Mount &amp; Remote, Flexible Gorilla Stand for DSLR &amp; Action Cameras</t>
  </si>
  <si>
    <t>Electronics|Cameras&amp;Photography|Accessories|Tripods&amp;Monopods|TripodLegs</t>
  </si>
  <si>
    <t>1,40,035</t>
  </si>
  <si>
    <t>B08CYPB15D</t>
  </si>
  <si>
    <t>HP 805 Black Original Ink Cartridge</t>
  </si>
  <si>
    <t>Computers&amp;Accessories|Printers,Inks&amp;Accessories|Inks,Toners&amp;Cartridges|InkjetInkCartridges</t>
  </si>
  <si>
    <t>B00MFPCY5C</t>
  </si>
  <si>
    <t>GIZGA essentials Universal Silicone Keyboard Protector Skin for 15.6-inches Laptop (5 x 6 x 3 inches)</t>
  </si>
  <si>
    <t>Computers&amp;Accessories|Accessories&amp;Peripherals|Keyboards,Mice&amp;InputDevices|Keyboard&amp;MiceAccessories|DustCovers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</si>
  <si>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</si>
  <si>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</si>
  <si>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</si>
  <si>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</si>
  <si>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</si>
  <si>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</si>
  <si>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</si>
  <si>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</si>
  <si>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</si>
  <si>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</si>
  <si>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</si>
  <si>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</si>
  <si>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</si>
  <si>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</si>
  <si>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</si>
  <si>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</si>
  <si>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</si>
  <si>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</si>
  <si>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</si>
  <si>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</si>
  <si>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</si>
  <si>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</si>
  <si>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</si>
  <si>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</si>
  <si>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</si>
  <si>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</si>
  <si>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1,03,052</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</si>
  <si>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</si>
  <si>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</si>
  <si>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</si>
  <si>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</si>
  <si>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</si>
  <si>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</si>
  <si>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</si>
  <si>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</si>
  <si>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</si>
  <si>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</si>
  <si>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</si>
  <si>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</si>
  <si>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</si>
  <si>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</si>
  <si>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</si>
  <si>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</si>
  <si>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</si>
  <si>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</si>
  <si>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1,19,466</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</si>
  <si>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</si>
  <si>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</si>
  <si>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</si>
  <si>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</si>
  <si>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</si>
  <si>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</si>
  <si>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</si>
  <si>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</si>
  <si>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</si>
  <si>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</si>
  <si>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</si>
  <si>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B00LVMTA2A</t>
  </si>
  <si>
    <t>Panasonic CR-2032/5BE Lithium Coin Battery - Pack of 5</t>
  </si>
  <si>
    <t>Electronics|GeneralPurposeBatteries&amp;BatteryChargers</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</si>
  <si>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</si>
  <si>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</si>
  <si>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</si>
  <si>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</si>
  <si>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</si>
  <si>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</si>
  <si>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</si>
  <si>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</si>
  <si>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</si>
  <si>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</si>
  <si>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</si>
  <si>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</si>
  <si>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</si>
  <si>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</si>
  <si>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</si>
  <si>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</si>
  <si>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4,26,972</t>
  </si>
  <si>
    <t>B00LZLQ624</t>
  </si>
  <si>
    <t>Classmate Soft Cover 6 Subject Spiral Binding Notebook, Single Line, 300 Pages</t>
  </si>
  <si>
    <t>OfficeProducts|OfficePaperProducts|Paper|Stationery|Notebooks,WritingPads&amp;Diaries|WireboundNotebooks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</si>
  <si>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</si>
  <si>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</si>
  <si>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</si>
  <si>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</si>
  <si>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</si>
  <si>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</si>
  <si>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</si>
  <si>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</si>
  <si>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</si>
  <si>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</si>
  <si>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</si>
  <si>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</si>
  <si>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</si>
  <si>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</si>
  <si>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</si>
  <si>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</si>
  <si>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</si>
  <si>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</si>
  <si>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</si>
  <si>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</si>
  <si>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</si>
  <si>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</si>
  <si>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</si>
  <si>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</si>
  <si>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1,56,638</t>
  </si>
  <si>
    <t>B00UGZWM2I</t>
  </si>
  <si>
    <t>COI Note Pad/Memo Book with Sticky Notes &amp; Clip Holder with Pen for Gifting</t>
  </si>
  <si>
    <t>OfficeProducts|OfficePaperProducts|Paper|Stationery|Notebooks,WritingPads&amp;Diaries|Notepads&amp;MemoBooks</t>
  </si>
  <si>
    <t>B00R1P3B4O</t>
  </si>
  <si>
    <t>Fujifilm Instax Mini Single Pack 10 Sheets Instant Film for Fuji Instant Cameras</t>
  </si>
  <si>
    <t>Electronics|Cameras&amp;Photography|Accessories|Film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</si>
  <si>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</si>
  <si>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</si>
  <si>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</si>
  <si>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</si>
  <si>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</si>
  <si>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</si>
  <si>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</si>
  <si>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</si>
  <si>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</si>
  <si>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</si>
  <si>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</si>
  <si>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</si>
  <si>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</si>
  <si>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</si>
  <si>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</si>
  <si>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</si>
  <si>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</si>
  <si>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</si>
  <si>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</si>
  <si>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</si>
  <si>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</si>
  <si>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</si>
  <si>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</si>
  <si>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</si>
  <si>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</si>
  <si>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</si>
  <si>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</si>
  <si>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1,89,104</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</si>
  <si>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</si>
  <si>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</si>
  <si>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</si>
  <si>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</si>
  <si>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</si>
  <si>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</si>
  <si>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</si>
  <si>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</si>
  <si>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</si>
  <si>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</si>
  <si>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</si>
  <si>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</si>
  <si>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</si>
  <si>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</si>
  <si>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</si>
  <si>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</si>
  <si>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</si>
  <si>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</si>
  <si>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</si>
  <si>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</si>
  <si>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</si>
  <si>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</si>
  <si>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</si>
  <si>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</si>
  <si>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</si>
  <si>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</si>
  <si>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</si>
  <si>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</si>
  <si>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</si>
  <si>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1,22,478</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</si>
  <si>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</si>
  <si>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</si>
  <si>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</si>
  <si>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</si>
  <si>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</si>
  <si>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</si>
  <si>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</si>
  <si>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</si>
  <si>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</si>
  <si>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</si>
  <si>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</si>
  <si>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</si>
  <si>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</si>
  <si>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</si>
  <si>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</si>
  <si>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</si>
  <si>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</si>
  <si>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</si>
  <si>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</si>
  <si>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</si>
  <si>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</si>
  <si>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</si>
  <si>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</si>
  <si>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</si>
  <si>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</si>
  <si>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</si>
  <si>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</si>
  <si>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</si>
  <si>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</si>
  <si>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</si>
  <si>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</si>
  <si>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</si>
  <si>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</si>
  <si>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</si>
  <si>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</si>
  <si>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</si>
  <si>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</si>
  <si>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</si>
  <si>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</si>
  <si>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</si>
  <si>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</si>
  <si>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</si>
  <si>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</si>
  <si>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</si>
  <si>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</si>
  <si>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</si>
  <si>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</si>
  <si>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</si>
  <si>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</si>
  <si>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</si>
  <si>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</si>
  <si>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</si>
  <si>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</si>
  <si>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2,73,189</t>
  </si>
  <si>
    <t>B00LHZWD0C</t>
  </si>
  <si>
    <t>Luxor 5 Subject Single Ruled Notebook - A4, 70 GSM, 300 pages</t>
  </si>
  <si>
    <t>OfficeProducts|OfficePaperProducts|Paper|Stationery|Notebooks,WritingPads&amp;Diaries|CompositionNotebooks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</si>
  <si>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</si>
  <si>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</si>
  <si>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</si>
  <si>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</si>
  <si>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</si>
  <si>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</si>
  <si>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</si>
  <si>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</si>
  <si>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OfficeProducts|OfficePaperProducts|Paper|Stationery|Pens,Pencils&amp;WritingSupplies|Pens&amp;Refills|RetractableBallpointPens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</si>
  <si>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</si>
  <si>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</si>
  <si>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</si>
  <si>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</si>
  <si>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</si>
  <si>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</si>
  <si>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</si>
  <si>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</si>
  <si>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</si>
  <si>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</si>
  <si>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</si>
  <si>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</si>
  <si>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</si>
  <si>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</si>
  <si>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</si>
  <si>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</si>
  <si>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</si>
  <si>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</si>
  <si>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B016XVRKZM</t>
  </si>
  <si>
    <t>APC Back-UPS BX600C-IN 600VA / 360W, 230V, UPS System, an Ideal Power Backup &amp; Protection for Home Office, Desktop PC &amp; Home Electronics</t>
  </si>
  <si>
    <t>Computers&amp;Accessories|Accessories&amp;Peripherals|UninterruptedPowerSupplies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</si>
  <si>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</si>
  <si>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</si>
  <si>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</si>
  <si>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</si>
  <si>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</si>
  <si>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</si>
  <si>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</si>
  <si>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</si>
  <si>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</si>
  <si>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</si>
  <si>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</si>
  <si>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</si>
  <si>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</si>
  <si>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</si>
  <si>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</si>
  <si>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</si>
  <si>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</si>
  <si>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</si>
  <si>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</si>
  <si>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</si>
  <si>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</si>
  <si>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</si>
  <si>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</si>
  <si>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</si>
  <si>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</si>
  <si>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</si>
  <si>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</si>
  <si>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</si>
  <si>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</si>
  <si>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</si>
  <si>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</si>
  <si>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</si>
  <si>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</si>
  <si>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</si>
  <si>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</si>
  <si>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</si>
  <si>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</si>
  <si>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</si>
  <si>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</si>
  <si>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</si>
  <si>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</si>
  <si>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</si>
  <si>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</si>
  <si>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</si>
  <si>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</si>
  <si>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</si>
  <si>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</si>
  <si>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</si>
  <si>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</si>
  <si>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</si>
  <si>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</si>
  <si>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Computers&amp;Accessories|Accessories&amp;Peripherals|LaptopAccessories</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</si>
  <si>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</si>
  <si>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</si>
  <si>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</si>
  <si>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</si>
  <si>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</si>
  <si>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</si>
  <si>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</si>
  <si>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HomeImprovement|Electrical|Adapters&amp;Multi-Outlets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</si>
  <si>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</si>
  <si>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</si>
  <si>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</si>
  <si>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</si>
  <si>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</si>
  <si>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</si>
  <si>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</si>
  <si>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</si>
  <si>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</si>
  <si>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</si>
  <si>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</si>
  <si>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</si>
  <si>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</si>
  <si>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</si>
  <si>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</si>
  <si>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</si>
  <si>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</si>
  <si>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</si>
  <si>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</si>
  <si>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</si>
  <si>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</si>
  <si>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</si>
  <si>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</si>
  <si>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</si>
  <si>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</si>
  <si>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</si>
  <si>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</si>
  <si>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</si>
  <si>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</si>
  <si>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</si>
  <si>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</si>
  <si>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</si>
  <si>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</si>
  <si>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</si>
  <si>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</si>
  <si>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</si>
  <si>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</si>
  <si>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</si>
  <si>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</si>
  <si>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</si>
  <si>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</si>
  <si>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</si>
  <si>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</si>
  <si>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</si>
  <si>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</si>
  <si>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</si>
  <si>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</si>
  <si>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</si>
  <si>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</si>
  <si>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</si>
  <si>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</si>
  <si>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</si>
  <si>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</si>
  <si>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</si>
  <si>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</si>
  <si>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</si>
  <si>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</si>
  <si>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</si>
  <si>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</si>
  <si>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</si>
  <si>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</si>
  <si>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</si>
  <si>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</si>
  <si>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</si>
  <si>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</si>
  <si>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</si>
  <si>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</si>
  <si>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</si>
  <si>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</si>
  <si>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</si>
  <si>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</si>
  <si>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</si>
  <si>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</si>
  <si>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</si>
  <si>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</si>
  <si>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</si>
  <si>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</si>
  <si>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</si>
  <si>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</si>
  <si>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B07Z53L5QL</t>
  </si>
  <si>
    <t>ProElite Faux Leather Smart Flip Case Cover for Apple iPad 12" 9th Gen (2021) / 8th Gen / 7th Gen with Stylus Pen, Black</t>
  </si>
  <si>
    <t>Computers&amp;Accessories|Accessories&amp;Peripherals|TabletAccessories|Bags,Cases&amp;Sleeves|Cases</t>
  </si>
  <si>
    <t>B00P93X0VO</t>
  </si>
  <si>
    <t>Classmate Pulse 6 Subject Notebook - Unruled, 300 Pages, Spiral Binding, 240mm*180mm</t>
  </si>
  <si>
    <t>B07SBGFDX9</t>
  </si>
  <si>
    <t>Pentonic Multicolor Ball Point Pen, Pack of 10</t>
  </si>
  <si>
    <t>OfficeProducts|OfficePaperProducts|Paper|Stationery|Pens,Pencils&amp;WritingSupplies|Pens&amp;Refills|StickBallpointPens</t>
  </si>
  <si>
    <t>1,07,686</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</si>
  <si>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</si>
  <si>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</si>
  <si>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</si>
  <si>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</si>
  <si>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</si>
  <si>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</si>
  <si>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</si>
  <si>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</si>
  <si>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</si>
  <si>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</si>
  <si>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</si>
  <si>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</si>
  <si>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</si>
  <si>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</si>
  <si>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</si>
  <si>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</si>
  <si>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</si>
  <si>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</si>
  <si>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</si>
  <si>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</si>
  <si>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</si>
  <si>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</si>
  <si>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</si>
  <si>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</si>
  <si>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2,05,052</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</si>
  <si>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</si>
  <si>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</si>
  <si>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</si>
  <si>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</si>
  <si>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</si>
  <si>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</si>
  <si>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</si>
  <si>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</si>
  <si>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</si>
  <si>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</si>
  <si>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</si>
  <si>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</si>
  <si>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</si>
  <si>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</si>
  <si>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</si>
  <si>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</si>
  <si>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Computers&amp;Accessories|Printers,Inks&amp;Accessories|Printers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</si>
  <si>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</si>
  <si>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</si>
  <si>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</si>
  <si>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</si>
  <si>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</si>
  <si>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</si>
  <si>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</si>
  <si>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</si>
  <si>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</si>
  <si>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</si>
  <si>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</si>
  <si>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</si>
  <si>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</si>
  <si>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</si>
  <si>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</si>
  <si>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</si>
  <si>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</si>
  <si>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</si>
  <si>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</si>
  <si>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</si>
  <si>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</si>
  <si>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</si>
  <si>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</si>
  <si>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</si>
  <si>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</si>
  <si>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</si>
  <si>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</si>
  <si>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</si>
  <si>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</si>
  <si>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</si>
  <si>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</si>
  <si>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</si>
  <si>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</si>
  <si>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</si>
  <si>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</si>
  <si>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</si>
  <si>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</si>
  <si>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</si>
  <si>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</si>
  <si>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</si>
  <si>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</si>
  <si>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</si>
  <si>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</si>
  <si>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</si>
  <si>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</si>
  <si>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</si>
  <si>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</si>
  <si>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</si>
  <si>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</si>
  <si>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</si>
  <si>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</si>
  <si>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</si>
  <si>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</si>
  <si>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</si>
  <si>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</si>
  <si>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</si>
  <si>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</si>
  <si>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</si>
  <si>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</si>
  <si>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</si>
  <si>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</si>
  <si>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</si>
  <si>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</si>
  <si>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</si>
  <si>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</si>
  <si>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</si>
  <si>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</si>
  <si>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</si>
  <si>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</si>
  <si>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</si>
  <si>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</si>
  <si>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</si>
  <si>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</si>
  <si>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</si>
  <si>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</si>
  <si>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</si>
  <si>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</si>
  <si>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</si>
  <si>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</si>
  <si>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</si>
  <si>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</si>
  <si>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</si>
  <si>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</si>
  <si>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</si>
  <si>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</si>
  <si>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</si>
  <si>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</si>
  <si>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</si>
  <si>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</si>
  <si>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B08J82K4GX</t>
  </si>
  <si>
    <t>Samsung 24-inch(646cm)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</si>
  <si>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</si>
  <si>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</si>
  <si>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</si>
  <si>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</si>
  <si>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</si>
  <si>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</si>
  <si>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</si>
  <si>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</si>
  <si>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</si>
  <si>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</si>
  <si>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</si>
  <si>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</si>
  <si>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</si>
  <si>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</si>
  <si>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</si>
  <si>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</si>
  <si>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</si>
  <si>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</si>
  <si>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</si>
  <si>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</si>
  <si>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</si>
  <si>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</si>
  <si>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</si>
  <si>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</si>
  <si>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</si>
  <si>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</si>
  <si>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</si>
  <si>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</si>
  <si>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</si>
  <si>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</si>
  <si>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</si>
  <si>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</si>
  <si>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</si>
  <si>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</si>
  <si>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</si>
  <si>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</si>
  <si>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</si>
  <si>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</si>
  <si>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</si>
  <si>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</si>
  <si>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</si>
  <si>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</si>
  <si>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</si>
  <si>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</si>
  <si>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</si>
  <si>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</si>
  <si>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</si>
  <si>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</si>
  <si>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</si>
  <si>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</si>
  <si>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</si>
  <si>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</si>
  <si>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</si>
  <si>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</si>
  <si>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</si>
  <si>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</si>
  <si>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</si>
  <si>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</si>
  <si>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</si>
  <si>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OfficeProducts|OfficeElectronics|Calculators|Financial&amp;Business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</si>
  <si>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</si>
  <si>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</si>
  <si>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</si>
  <si>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</si>
  <si>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</si>
  <si>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</si>
  <si>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</si>
  <si>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</si>
  <si>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</si>
  <si>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</si>
  <si>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</si>
  <si>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</si>
  <si>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</si>
  <si>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</si>
  <si>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</si>
  <si>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</si>
  <si>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</si>
  <si>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</si>
  <si>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</si>
  <si>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</si>
  <si>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</si>
  <si>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</si>
  <si>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</si>
  <si>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</si>
  <si>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</si>
  <si>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</si>
  <si>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</si>
  <si>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</si>
  <si>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</si>
  <si>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</si>
  <si>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</si>
  <si>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</si>
  <si>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</si>
  <si>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</si>
  <si>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</si>
  <si>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</si>
  <si>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</si>
  <si>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</si>
  <si>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</si>
  <si>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</si>
  <si>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</si>
  <si>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</si>
  <si>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</si>
  <si>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</si>
  <si>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</si>
  <si>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</si>
  <si>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</si>
  <si>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</si>
  <si>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</si>
  <si>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</si>
  <si>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</si>
  <si>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</si>
  <si>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</si>
  <si>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</si>
  <si>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</si>
  <si>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</si>
  <si>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</si>
  <si>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B09Q3M3WLJ</t>
  </si>
  <si>
    <t>Robustrion [Anti-Scratch] &amp; [Smudge Proof] [Bubble Free] Premium Tempered Glass Screen Protector Guard for Samsung Galaxy Tab A8 15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</si>
  <si>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</si>
  <si>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</si>
  <si>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</si>
  <si>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</si>
  <si>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</si>
  <si>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</si>
  <si>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</si>
  <si>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</si>
  <si>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</si>
  <si>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</si>
  <si>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</si>
  <si>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</si>
  <si>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</si>
  <si>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</si>
  <si>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</si>
  <si>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</si>
  <si>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</si>
  <si>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</si>
  <si>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</si>
  <si>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</si>
  <si>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</si>
  <si>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</si>
  <si>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</si>
  <si>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</si>
  <si>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</si>
  <si>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</si>
  <si>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</si>
  <si>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</si>
  <si>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</si>
  <si>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OfficeProducts|OfficePaperProducts|Paper|Stationery|Pens,Pencils&amp;WritingSupplies|Pens&amp;Refills|FountainPens</t>
  </si>
  <si>
    <t>B07W14CHV8</t>
  </si>
  <si>
    <t>CARECASEÂ®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</si>
  <si>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</si>
  <si>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</si>
  <si>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</si>
  <si>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</si>
  <si>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</si>
  <si>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</si>
  <si>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</si>
  <si>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</si>
  <si>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</si>
  <si>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</si>
  <si>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</si>
  <si>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</si>
  <si>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</si>
  <si>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</si>
  <si>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</si>
  <si>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</si>
  <si>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</si>
  <si>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</si>
  <si>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</si>
  <si>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</si>
  <si>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</si>
  <si>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</si>
  <si>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</si>
  <si>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</si>
  <si>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</si>
  <si>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</si>
  <si>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B00H47GVGY</t>
  </si>
  <si>
    <t>USHA Quartz Room Heater with Overheating Protection (3002, Ivory, 800 Watts)</t>
  </si>
  <si>
    <t>Home&amp;Kitchen|Heating,Cooling&amp;AirQuality|RoomHeaters|ElectricHeaters</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</si>
  <si>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</si>
  <si>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</si>
  <si>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</si>
  <si>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</si>
  <si>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</si>
  <si>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</si>
  <si>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</si>
  <si>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</si>
  <si>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</si>
  <si>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</si>
  <si>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</si>
  <si>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</si>
  <si>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</si>
  <si>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</si>
  <si>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</si>
  <si>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</si>
  <si>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</si>
  <si>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</si>
  <si>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</si>
  <si>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</si>
  <si>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</si>
  <si>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</si>
  <si>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</si>
  <si>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Home&amp;Kitchen|Kitchen&amp;HomeAppliances|SmallKitchenAppliances|InductionCooktop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</si>
  <si>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</si>
  <si>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</si>
  <si>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</si>
  <si>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</si>
  <si>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</si>
  <si>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</si>
  <si>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</si>
  <si>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</si>
  <si>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</si>
  <si>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</si>
  <si>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</si>
  <si>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</si>
  <si>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</si>
  <si>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</si>
  <si>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</si>
  <si>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</si>
  <si>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</si>
  <si>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</si>
  <si>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B01M5F614J</t>
  </si>
  <si>
    <t>Morphy Richards OFR Room Heater, 09 Fin 2000 Watts Oil Filled Room Heater , ISI Approved (OFR 9 Grey)</t>
  </si>
  <si>
    <t>Home&amp;Kitchen|Heating,Cooling&amp;AirQuality|RoomHeaters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</si>
  <si>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</si>
  <si>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</si>
  <si>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</si>
  <si>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</si>
  <si>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</si>
  <si>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</si>
  <si>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</si>
  <si>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</si>
  <si>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</si>
  <si>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</si>
  <si>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</si>
  <si>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</si>
  <si>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</si>
  <si>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</si>
  <si>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</si>
  <si>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</si>
  <si>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</si>
  <si>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</si>
  <si>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</si>
  <si>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</si>
  <si>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</si>
  <si>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</si>
  <si>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</si>
  <si>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</si>
  <si>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</si>
  <si>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</si>
  <si>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</si>
  <si>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</si>
  <si>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</si>
  <si>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</si>
  <si>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</si>
  <si>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Home&amp;Kitchen|Kitchen&amp;HomeAppliances|SmallKitchenAppliances|DeepFatFryers|AirFryers</t>
  </si>
  <si>
    <t>B0814P4L98</t>
  </si>
  <si>
    <t>PrettyKrafts Laundry Basket for clothes with Lid &amp; Handles, Toys Organiser, 75 Ltr Black &amp; Grey</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</si>
  <si>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</si>
  <si>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</si>
  <si>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</si>
  <si>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</si>
  <si>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</si>
  <si>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</si>
  <si>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</si>
  <si>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</si>
  <si>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</si>
  <si>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</si>
  <si>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</si>
  <si>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</si>
  <si>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Home&amp;Kitchen|Kitchen&amp;HomeAppliances|SmallKitchenAppliances|JuicerMixerGrinders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</si>
  <si>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</si>
  <si>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</si>
  <si>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</si>
  <si>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</si>
  <si>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</si>
  <si>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</si>
  <si>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Home&amp;Kitchen|Kitchen&amp;HomeAppliances|Vacuum,Cleaning&amp;Ironing|Vacuums&amp;FloorCare|Vacuums|HandheldVacuums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</si>
  <si>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</si>
  <si>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</si>
  <si>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</si>
  <si>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</si>
  <si>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</si>
  <si>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</si>
  <si>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</si>
  <si>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</si>
  <si>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</si>
  <si>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</si>
  <si>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</si>
  <si>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</si>
  <si>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</si>
  <si>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</si>
  <si>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</si>
  <si>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</si>
  <si>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</si>
  <si>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</si>
  <si>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</si>
  <si>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</si>
  <si>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</si>
  <si>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</si>
  <si>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</si>
  <si>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</si>
  <si>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</si>
  <si>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</si>
  <si>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</si>
  <si>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</si>
  <si>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</si>
  <si>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</si>
  <si>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</si>
  <si>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</si>
  <si>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</si>
  <si>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</si>
  <si>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</si>
  <si>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</si>
  <si>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</si>
  <si>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</si>
  <si>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</si>
  <si>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</si>
  <si>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</si>
  <si>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</si>
  <si>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</si>
  <si>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</si>
  <si>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</si>
  <si>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</si>
  <si>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Home&amp;Kitchen|Kitchen&amp;HomeAppliances|SmallKitchenAppliances|MiniFoodProcessors&amp;Choppers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</si>
  <si>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</si>
  <si>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</si>
  <si>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</si>
  <si>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</si>
  <si>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</si>
  <si>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</si>
  <si>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</si>
  <si>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</si>
  <si>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</si>
  <si>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</si>
  <si>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</si>
  <si>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</si>
  <si>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</si>
  <si>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</si>
  <si>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</si>
  <si>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</si>
  <si>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</si>
  <si>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</si>
  <si>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</si>
  <si>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</si>
  <si>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</si>
  <si>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</si>
  <si>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</si>
  <si>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</si>
  <si>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</si>
  <si>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</si>
  <si>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</si>
  <si>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</si>
  <si>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</si>
  <si>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</si>
  <si>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</si>
  <si>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</si>
  <si>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</si>
  <si>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</si>
  <si>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</si>
  <si>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</si>
  <si>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</si>
  <si>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</si>
  <si>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</si>
  <si>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</si>
  <si>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</si>
  <si>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</si>
  <si>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</si>
  <si>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B009P2LK80</t>
  </si>
  <si>
    <t>Bajaj Deluxe 2000 Watts Halogen Room Heater (Steel, ISI Approved), Multicolor</t>
  </si>
  <si>
    <t>Home&amp;Kitchen|Heating,Cooling&amp;AirQuality|RoomHeaters|HalogenHeaters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</si>
  <si>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</si>
  <si>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</si>
  <si>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</si>
  <si>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</si>
  <si>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</si>
  <si>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</si>
  <si>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</si>
  <si>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</si>
  <si>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</si>
  <si>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</si>
  <si>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</si>
  <si>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</si>
  <si>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Home&amp;Kitchen|Kitchen&amp;HomeAppliances|SmallKitchenAppliances|Pop-upToasters</t>
  </si>
  <si>
    <t>B08MVSGXMY</t>
  </si>
  <si>
    <t>Crompton Insta Comfy 800 Watt Room Heater with 2 Heat Settings(Grey Blue)</t>
  </si>
  <si>
    <t>B00H0B29DI</t>
  </si>
  <si>
    <t>USHA Heat Convector 812 T 2000-Watt with Instant Heating Feature (Black)</t>
  </si>
  <si>
    <t>Home&amp;Kitchen|Heating,Cooling&amp;AirQuality|RoomHeaters|HeatConvectors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</si>
  <si>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</si>
  <si>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</si>
  <si>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</si>
  <si>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</si>
  <si>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</si>
  <si>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</si>
  <si>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</si>
  <si>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</si>
  <si>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</si>
  <si>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</si>
  <si>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</si>
  <si>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</si>
  <si>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</si>
  <si>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</si>
  <si>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</si>
  <si>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</si>
  <si>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</si>
  <si>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</si>
  <si>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</si>
  <si>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</si>
  <si>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</si>
  <si>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</si>
  <si>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</si>
  <si>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</si>
  <si>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</si>
  <si>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</si>
  <si>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</si>
  <si>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</si>
  <si>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</si>
  <si>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</si>
  <si>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</si>
  <si>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</si>
  <si>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</si>
  <si>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</si>
  <si>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</si>
  <si>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</si>
  <si>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</si>
  <si>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</si>
  <si>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</si>
  <si>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</si>
  <si>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</si>
  <si>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</si>
  <si>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</si>
  <si>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</si>
  <si>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</si>
  <si>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</si>
  <si>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</si>
  <si>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</si>
  <si>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</si>
  <si>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</si>
  <si>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</si>
  <si>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</si>
  <si>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</si>
  <si>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</si>
  <si>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</si>
  <si>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</si>
  <si>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</si>
  <si>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</si>
  <si>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</si>
  <si>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</si>
  <si>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</si>
  <si>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</si>
  <si>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</si>
  <si>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</si>
  <si>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</si>
  <si>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</si>
  <si>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</si>
  <si>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</si>
  <si>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</si>
  <si>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</si>
  <si>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</si>
  <si>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</si>
  <si>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</si>
  <si>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</si>
  <si>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</si>
  <si>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</si>
  <si>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</si>
  <si>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</si>
  <si>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</si>
  <si>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</si>
  <si>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</si>
  <si>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</si>
  <si>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</si>
  <si>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</si>
  <si>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</si>
  <si>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</si>
  <si>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</si>
  <si>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</si>
  <si>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</si>
  <si>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</si>
  <si>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</si>
  <si>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</si>
  <si>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</si>
  <si>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</si>
  <si>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</si>
  <si>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</si>
  <si>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</si>
  <si>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</si>
  <si>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</si>
  <si>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</si>
  <si>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</si>
  <si>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</si>
  <si>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</si>
  <si>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</si>
  <si>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</si>
  <si>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</si>
  <si>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</si>
  <si>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</si>
  <si>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</si>
  <si>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</si>
  <si>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</si>
  <si>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</si>
  <si>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</si>
  <si>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</si>
  <si>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</si>
  <si>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</si>
  <si>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</si>
  <si>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</si>
  <si>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</si>
  <si>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</si>
  <si>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</si>
  <si>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</si>
  <si>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</si>
  <si>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</si>
  <si>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</si>
  <si>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</si>
  <si>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</si>
  <si>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</si>
  <si>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</si>
  <si>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B07FXLC2G2</t>
  </si>
  <si>
    <t>Tata Swach Bulb 6000-Litre Cartridge, 1 Piece, White, Hollow Fiber Membrane</t>
  </si>
  <si>
    <t>Home&amp;Kitchen|Kitchen&amp;HomeAppliances|WaterPurifiers&amp;Accessories|WaterFilters&amp;Purifiers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</si>
  <si>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</si>
  <si>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</si>
  <si>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</si>
  <si>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</si>
  <si>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</si>
  <si>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</si>
  <si>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</si>
  <si>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</si>
  <si>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</si>
  <si>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</si>
  <si>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</si>
  <si>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</si>
  <si>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</si>
  <si>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</si>
  <si>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</si>
  <si>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</si>
  <si>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</si>
  <si>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</si>
  <si>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</si>
  <si>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</si>
  <si>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</si>
  <si>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</si>
  <si>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</si>
  <si>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</si>
  <si>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</si>
  <si>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</si>
  <si>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</si>
  <si>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</si>
  <si>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</si>
  <si>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</si>
  <si>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</si>
  <si>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</si>
  <si>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</si>
  <si>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</si>
  <si>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</si>
  <si>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Home&amp;Kitchen|Kitchen&amp;HomeAppliances|SewingMachines&amp;Accessories|Sewing&amp;EmbroideryMachines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</si>
  <si>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</si>
  <si>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</si>
  <si>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</si>
  <si>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</si>
  <si>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</si>
  <si>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</si>
  <si>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</si>
  <si>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</si>
  <si>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</si>
  <si>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</si>
  <si>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</si>
  <si>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</si>
  <si>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Home&amp;Kitchen|HomeStorage&amp;Organization|LaundryOrganization|IroningAccessories|SprayBottles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</si>
  <si>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</si>
  <si>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</si>
  <si>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</si>
  <si>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</si>
  <si>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</si>
  <si>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</si>
  <si>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</si>
  <si>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</si>
  <si>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</si>
  <si>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</si>
  <si>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</si>
  <si>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</si>
  <si>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</si>
  <si>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</si>
  <si>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</si>
  <si>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</si>
  <si>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</si>
  <si>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</si>
  <si>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B07N2MGB3G</t>
  </si>
  <si>
    <t>AGARO Marvel 9 Liters Oven Toaster Griller, Cake Baking OTG (Black)</t>
  </si>
  <si>
    <t>Home&amp;Kitchen|Kitchen&amp;HomeAppliances|SmallKitchenAppliances|OvenToasterGrills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</si>
  <si>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</si>
  <si>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</si>
  <si>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</si>
  <si>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</si>
  <si>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</si>
  <si>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</si>
  <si>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</si>
  <si>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</si>
  <si>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</si>
  <si>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</si>
  <si>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</si>
  <si>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</si>
  <si>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</si>
  <si>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</si>
  <si>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</si>
  <si>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</si>
  <si>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</si>
  <si>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</si>
  <si>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</si>
  <si>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</si>
  <si>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</si>
  <si>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</si>
  <si>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</si>
  <si>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</si>
  <si>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</si>
  <si>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</si>
  <si>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</si>
  <si>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</si>
  <si>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</si>
  <si>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</si>
  <si>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Home&amp;Kitchen|Kitchen&amp;HomeAppliances|SmallKitchenAppliances|Juicers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</si>
  <si>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</si>
  <si>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</si>
  <si>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</si>
  <si>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VRW50BK (A1)</t>
  </si>
  <si>
    <t>B08S6RKT4L</t>
  </si>
  <si>
    <t>Balzano High Speed Nutri Blender/Mixer/Smoothie Maker - 500 Watt - Silver, 2 Jar</t>
  </si>
  <si>
    <t>Home&amp;Kitchen|Kitchen&amp;HomeAppliances|SmallKitchenAppliances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</si>
  <si>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</si>
  <si>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</si>
  <si>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</si>
  <si>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</si>
  <si>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</si>
  <si>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</si>
  <si>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</si>
  <si>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</si>
  <si>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</si>
  <si>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</si>
  <si>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</si>
  <si>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</si>
  <si>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</si>
  <si>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</si>
  <si>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</si>
  <si>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</si>
  <si>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</si>
  <si>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</si>
  <si>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</si>
  <si>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</si>
  <si>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</si>
  <si>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</si>
  <si>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</si>
  <si>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</si>
  <si>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</si>
  <si>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</si>
  <si>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</si>
  <si>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</si>
  <si>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</si>
  <si>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</si>
  <si>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</si>
  <si>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</si>
  <si>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</si>
  <si>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</si>
  <si>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</si>
  <si>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</si>
  <si>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</si>
  <si>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</si>
  <si>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</si>
  <si>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</si>
  <si>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</si>
  <si>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</si>
  <si>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</si>
  <si>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</si>
  <si>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</si>
  <si>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</si>
  <si>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</si>
  <si>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</si>
  <si>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</si>
  <si>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</si>
  <si>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</si>
  <si>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</si>
  <si>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</si>
  <si>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</si>
  <si>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</si>
  <si>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</si>
  <si>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</si>
  <si>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</si>
  <si>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</si>
  <si>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</si>
  <si>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</si>
  <si>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</si>
  <si>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</si>
  <si>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</si>
  <si>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</si>
  <si>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</si>
  <si>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</si>
  <si>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</si>
  <si>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</si>
  <si>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</si>
  <si>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</si>
  <si>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</si>
  <si>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</si>
  <si>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Home&amp;Kitchen|Kitchen&amp;HomeAppliances|Coffee,Tea&amp;Espresso|EspressoMachines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</si>
  <si>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</si>
  <si>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</si>
  <si>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</si>
  <si>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</si>
  <si>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</si>
  <si>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</si>
  <si>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</si>
  <si>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</si>
  <si>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</si>
  <si>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</si>
  <si>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</si>
  <si>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</si>
  <si>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</si>
  <si>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</si>
  <si>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</si>
  <si>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</si>
  <si>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</si>
  <si>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</si>
  <si>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</si>
  <si>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</si>
  <si>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</si>
  <si>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</si>
  <si>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</si>
  <si>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</si>
  <si>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</si>
  <si>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</si>
  <si>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</si>
  <si>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</si>
  <si>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</si>
  <si>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</si>
  <si>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</si>
  <si>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</si>
  <si>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</si>
  <si>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</si>
  <si>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</si>
  <si>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</si>
  <si>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</si>
  <si>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</si>
  <si>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</si>
  <si>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</si>
  <si>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</si>
  <si>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</si>
  <si>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</si>
  <si>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</si>
  <si>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</si>
  <si>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</si>
  <si>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</si>
  <si>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</si>
  <si>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</si>
  <si>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</si>
  <si>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</si>
  <si>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</si>
  <si>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</si>
  <si>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</si>
  <si>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</si>
  <si>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</si>
  <si>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</si>
  <si>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</si>
  <si>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</si>
  <si>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</si>
  <si>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</si>
  <si>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</si>
  <si>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</si>
  <si>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</si>
  <si>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</si>
  <si>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</si>
  <si>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</si>
  <si>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</si>
  <si>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</si>
  <si>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</si>
  <si>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</si>
  <si>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</si>
  <si>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</si>
  <si>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</si>
  <si>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</si>
  <si>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</si>
  <si>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</si>
  <si>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</si>
  <si>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</si>
  <si>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</si>
  <si>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</si>
  <si>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</si>
  <si>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</si>
  <si>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</si>
  <si>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</si>
  <si>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</si>
  <si>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</si>
  <si>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</si>
  <si>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</si>
  <si>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</si>
  <si>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</si>
  <si>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4-Litre Grind and Store Jar (White), stainless steel, Set of 1</t>
  </si>
  <si>
    <t>Home&amp;Kitchen|Kitchen&amp;HomeAppliances|SmallKitchenAppliances|SmallApplianceParts&amp;Accessories|StandMixerAccessories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</si>
  <si>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</si>
  <si>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</si>
  <si>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</si>
  <si>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</si>
  <si>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</si>
  <si>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</si>
  <si>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</si>
  <si>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</si>
  <si>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</si>
  <si>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</si>
  <si>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</si>
  <si>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</si>
  <si>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</si>
  <si>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</si>
  <si>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</si>
  <si>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</si>
  <si>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</si>
  <si>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</si>
  <si>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</si>
  <si>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</si>
  <si>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</si>
  <si>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</si>
  <si>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</si>
  <si>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</si>
  <si>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</si>
  <si>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</si>
  <si>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</si>
  <si>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</si>
  <si>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</si>
  <si>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</si>
  <si>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</si>
  <si>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</si>
  <si>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</si>
  <si>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</si>
  <si>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</si>
  <si>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</si>
  <si>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</si>
  <si>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</si>
  <si>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</si>
  <si>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</si>
  <si>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</si>
  <si>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</si>
  <si>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</si>
  <si>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</si>
  <si>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</si>
  <si>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</si>
  <si>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</si>
  <si>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</si>
  <si>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</si>
  <si>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</si>
  <si>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</si>
  <si>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</si>
  <si>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</si>
  <si>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</si>
  <si>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</si>
  <si>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</si>
  <si>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</si>
  <si>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</si>
  <si>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</si>
  <si>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</si>
  <si>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</si>
  <si>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</si>
  <si>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</si>
  <si>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</si>
  <si>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B07R679HTT</t>
  </si>
  <si>
    <t>AGARO Imperial 240-Watt Slow Juicer with Cold Press Technology</t>
  </si>
  <si>
    <t>Home&amp;Kitchen|Kitchen&amp;HomeAppliances|SmallKitchenAppliances|Juicers|ColdPressJuicers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</si>
  <si>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</si>
  <si>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</si>
  <si>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</si>
  <si>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</si>
  <si>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</si>
  <si>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</si>
  <si>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</si>
  <si>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</si>
  <si>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</si>
  <si>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</si>
  <si>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</si>
  <si>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</si>
  <si>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</si>
  <si>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</si>
  <si>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</si>
  <si>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</si>
  <si>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</si>
  <si>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</si>
  <si>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</si>
  <si>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</si>
  <si>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</si>
  <si>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</si>
  <si>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</si>
  <si>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</si>
  <si>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</si>
  <si>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</si>
  <si>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</si>
  <si>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</si>
  <si>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</si>
  <si>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</si>
  <si>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</si>
  <si>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</si>
  <si>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</si>
  <si>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</si>
  <si>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</si>
  <si>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</si>
  <si>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Home&amp;Kitchen|Heating,Cooling&amp;AirQuality|AirConditioners|Split-SystemAirConditioners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</si>
  <si>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</si>
  <si>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</si>
  <si>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</si>
  <si>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</si>
  <si>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</si>
  <si>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</si>
  <si>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</si>
  <si>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</si>
  <si>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Home&amp;Kitchen|Kitchen&amp;HomeAppliances|SmallKitchenAppliances|SmallApplianceParts&amp;Accessories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</si>
  <si>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</si>
  <si>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</si>
  <si>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</si>
  <si>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</si>
  <si>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</si>
  <si>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</si>
  <si>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</si>
  <si>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</si>
  <si>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</si>
  <si>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</si>
  <si>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</si>
  <si>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</si>
  <si>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</si>
  <si>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</si>
  <si>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</si>
  <si>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</si>
  <si>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</si>
  <si>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</si>
  <si>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</si>
  <si>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</si>
  <si>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</si>
  <si>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</si>
  <si>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</si>
  <si>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</si>
  <si>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</si>
  <si>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</si>
  <si>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</si>
  <si>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</si>
  <si>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</si>
  <si>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</si>
  <si>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</si>
  <si>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</si>
  <si>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</si>
  <si>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</si>
  <si>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</si>
  <si>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</si>
  <si>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</si>
  <si>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</si>
  <si>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</si>
  <si>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</si>
  <si>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</si>
  <si>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</si>
  <si>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</si>
  <si>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</si>
  <si>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</si>
  <si>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</si>
  <si>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</si>
  <si>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</si>
  <si>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</si>
  <si>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</si>
  <si>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</si>
  <si>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</si>
  <si>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</si>
  <si>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</si>
  <si>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</si>
  <si>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</si>
  <si>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</si>
  <si>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</si>
  <si>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</si>
  <si>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</si>
  <si>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</si>
  <si>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</si>
  <si>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</si>
  <si>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</si>
  <si>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</si>
  <si>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</si>
  <si>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</si>
  <si>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</si>
  <si>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</si>
  <si>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</si>
  <si>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</si>
  <si>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</si>
  <si>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</si>
  <si>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</si>
  <si>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</si>
  <si>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</si>
  <si>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</si>
  <si>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</si>
  <si>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</si>
  <si>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</si>
  <si>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</si>
  <si>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</si>
  <si>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</si>
  <si>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</si>
  <si>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</si>
  <si>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</si>
  <si>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</si>
  <si>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</si>
  <si>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</si>
  <si>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</si>
  <si>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</si>
  <si>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</si>
  <si>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</si>
  <si>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</si>
  <si>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</si>
  <si>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</si>
  <si>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</si>
  <si>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</si>
  <si>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</si>
  <si>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</si>
  <si>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</si>
  <si>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</si>
  <si>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</si>
  <si>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</si>
  <si>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</si>
  <si>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</si>
  <si>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</si>
  <si>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</si>
  <si>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</si>
  <si>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</si>
  <si>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</si>
  <si>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</si>
  <si>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</si>
  <si>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</si>
  <si>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</si>
  <si>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</si>
  <si>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</si>
  <si>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</si>
  <si>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</si>
  <si>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</si>
  <si>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</si>
  <si>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</si>
  <si>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</si>
  <si>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</si>
  <si>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</si>
  <si>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</si>
  <si>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</si>
  <si>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</si>
  <si>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</si>
  <si>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</si>
  <si>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</si>
  <si>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</si>
  <si>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</si>
  <si>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</si>
  <si>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</si>
  <si>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</si>
  <si>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</si>
  <si>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</si>
  <si>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</si>
  <si>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</si>
  <si>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</si>
  <si>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</si>
  <si>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</si>
  <si>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</si>
  <si>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</si>
  <si>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</si>
  <si>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</si>
  <si>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</si>
  <si>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</si>
  <si>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</si>
  <si>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</si>
  <si>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</si>
  <si>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</si>
  <si>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</si>
  <si>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</si>
  <si>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</si>
  <si>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</si>
  <si>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</si>
  <si>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</si>
  <si>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</si>
  <si>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</si>
  <si>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</si>
  <si>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</si>
  <si>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</si>
  <si>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</si>
  <si>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</si>
  <si>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</si>
  <si>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</si>
  <si>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</si>
  <si>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Home&amp;Kitchen|Heating,Cooling&amp;AirQuality|Fans|PedestalFans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</si>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</sst>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1"/>
      <name val="Calibri"/>
      <family val="2"/>
      <scheme val="minor"/>
    </font>
    <font>
      <b/>
      <sz val="26"/>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3" fontId="0" fillId="0" borderId="0" xfId="0" applyNumberFormat="1"/>
    <xf numFmtId="49" fontId="0" fillId="0" borderId="0" xfId="0" applyNumberFormat="1"/>
    <xf numFmtId="4" fontId="0" fillId="0" borderId="0" xfId="0" applyNumberFormat="1"/>
    <xf numFmtId="0" fontId="0" fillId="0" borderId="0" xfId="0" applyNumberFormat="1"/>
    <xf numFmtId="167" fontId="0" fillId="0" borderId="0" xfId="0" applyNumberFormat="1"/>
    <xf numFmtId="1" fontId="0" fillId="0" borderId="0" xfId="0" applyNumberFormat="1"/>
    <xf numFmtId="0" fontId="0" fillId="0" borderId="0" xfId="0" pivotButton="1"/>
    <xf numFmtId="0" fontId="18" fillId="33" borderId="0" xfId="0" applyFont="1" applyFill="1"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3" formatCode="#,##0"/>
    </dxf>
    <dxf>
      <numFmt numFmtId="1" formatCode="0"/>
    </dxf>
    <dxf>
      <numFmt numFmtId="3" formatCode="#,##0"/>
    </dxf>
    <dxf>
      <numFmt numFmtId="3" formatCode="#,##0"/>
    </dxf>
    <dxf>
      <numFmt numFmtId="30" formatCode="@"/>
    </dxf>
    <dxf>
      <numFmt numFmtId="1" formatCode="0"/>
    </dxf>
    <dxf>
      <numFmt numFmtId="167" formatCode="0.0"/>
    </dxf>
    <dxf>
      <numFmt numFmtId="167" formatCode="0.0"/>
    </dxf>
    <dxf>
      <numFmt numFmtId="1" formatCode="0"/>
    </dxf>
    <dxf>
      <numFmt numFmtId="167"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Brand Has Highest Customer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404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8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808080"/>
          </a:solidFill>
          <a:ln>
            <a:noFill/>
          </a:ln>
          <a:effectLst/>
        </c:spPr>
      </c:pivotFmt>
    </c:pivotFmts>
    <c:plotArea>
      <c:layout/>
      <c:barChart>
        <c:barDir val="col"/>
        <c:grouping val="clustered"/>
        <c:varyColors val="0"/>
        <c:ser>
          <c:idx val="0"/>
          <c:order val="0"/>
          <c:tx>
            <c:strRef>
              <c:f>Sheet1!$B$30</c:f>
              <c:strCache>
                <c:ptCount val="1"/>
                <c:pt idx="0">
                  <c:v>Sum of rating_count</c:v>
                </c:pt>
              </c:strCache>
            </c:strRef>
          </c:tx>
          <c:spPr>
            <a:solidFill>
              <a:srgbClr val="404040"/>
            </a:solidFill>
            <a:ln>
              <a:noFill/>
            </a:ln>
            <a:effectLst/>
          </c:spPr>
          <c:invertIfNegative val="0"/>
          <c:cat>
            <c:strRef>
              <c:f>Sheet1!$A$31:$A$35</c:f>
              <c:strCache>
                <c:ptCount val="4"/>
                <c:pt idx="0">
                  <c:v>INALSA</c:v>
                </c:pt>
                <c:pt idx="1">
                  <c:v>Instant</c:v>
                </c:pt>
                <c:pt idx="2">
                  <c:v>Philips</c:v>
                </c:pt>
                <c:pt idx="3">
                  <c:v>Pigeon</c:v>
                </c:pt>
              </c:strCache>
            </c:strRef>
          </c:cat>
          <c:val>
            <c:numRef>
              <c:f>Sheet1!$B$31:$B$35</c:f>
              <c:numCache>
                <c:formatCode>General</c:formatCode>
                <c:ptCount val="4"/>
                <c:pt idx="0">
                  <c:v>3192</c:v>
                </c:pt>
                <c:pt idx="1">
                  <c:v>3964</c:v>
                </c:pt>
                <c:pt idx="2">
                  <c:v>4945</c:v>
                </c:pt>
                <c:pt idx="3">
                  <c:v>136</c:v>
                </c:pt>
              </c:numCache>
            </c:numRef>
          </c:val>
          <c:extLst>
            <c:ext xmlns:c16="http://schemas.microsoft.com/office/drawing/2014/chart" uri="{C3380CC4-5D6E-409C-BE32-E72D297353CC}">
              <c16:uniqueId val="{00000000-5F3E-4955-BBB8-1A8E20F01A2D}"/>
            </c:ext>
          </c:extLst>
        </c:ser>
        <c:ser>
          <c:idx val="1"/>
          <c:order val="1"/>
          <c:tx>
            <c:strRef>
              <c:f>Sheet1!$C$30</c:f>
              <c:strCache>
                <c:ptCount val="1"/>
                <c:pt idx="0">
                  <c:v>Average of discounted_price</c:v>
                </c:pt>
              </c:strCache>
            </c:strRef>
          </c:tx>
          <c:spPr>
            <a:solidFill>
              <a:srgbClr val="808080"/>
            </a:solidFill>
            <a:ln>
              <a:noFill/>
            </a:ln>
            <a:effectLst/>
          </c:spPr>
          <c:invertIfNegative val="0"/>
          <c:cat>
            <c:strRef>
              <c:f>Sheet1!$A$31:$A$35</c:f>
              <c:strCache>
                <c:ptCount val="4"/>
                <c:pt idx="0">
                  <c:v>INALSA</c:v>
                </c:pt>
                <c:pt idx="1">
                  <c:v>Instant</c:v>
                </c:pt>
                <c:pt idx="2">
                  <c:v>Philips</c:v>
                </c:pt>
                <c:pt idx="3">
                  <c:v>Pigeon</c:v>
                </c:pt>
              </c:strCache>
            </c:strRef>
          </c:cat>
          <c:val>
            <c:numRef>
              <c:f>Sheet1!$C$31:$C$35</c:f>
              <c:numCache>
                <c:formatCode>0</c:formatCode>
                <c:ptCount val="4"/>
                <c:pt idx="0">
                  <c:v>6790</c:v>
                </c:pt>
                <c:pt idx="1">
                  <c:v>4995</c:v>
                </c:pt>
                <c:pt idx="2">
                  <c:v>7999</c:v>
                </c:pt>
                <c:pt idx="3">
                  <c:v>3599</c:v>
                </c:pt>
              </c:numCache>
            </c:numRef>
          </c:val>
          <c:extLst>
            <c:ext xmlns:c16="http://schemas.microsoft.com/office/drawing/2014/chart" uri="{C3380CC4-5D6E-409C-BE32-E72D297353CC}">
              <c16:uniqueId val="{00000001-5F3E-4955-BBB8-1A8E20F01A2D}"/>
            </c:ext>
          </c:extLst>
        </c:ser>
        <c:ser>
          <c:idx val="2"/>
          <c:order val="2"/>
          <c:tx>
            <c:strRef>
              <c:f>Sheet1!$D$30</c:f>
              <c:strCache>
                <c:ptCount val="1"/>
                <c:pt idx="0">
                  <c:v>Average of rating</c:v>
                </c:pt>
              </c:strCache>
            </c:strRef>
          </c:tx>
          <c:spPr>
            <a:solidFill>
              <a:srgbClr val="2AA0A4"/>
            </a:solidFill>
            <a:ln>
              <a:noFill/>
            </a:ln>
            <a:effectLst/>
          </c:spPr>
          <c:invertIfNegative val="0"/>
          <c:cat>
            <c:strRef>
              <c:f>Sheet1!$A$31:$A$35</c:f>
              <c:strCache>
                <c:ptCount val="4"/>
                <c:pt idx="0">
                  <c:v>INALSA</c:v>
                </c:pt>
                <c:pt idx="1">
                  <c:v>Instant</c:v>
                </c:pt>
                <c:pt idx="2">
                  <c:v>Philips</c:v>
                </c:pt>
                <c:pt idx="3">
                  <c:v>Pigeon</c:v>
                </c:pt>
              </c:strCache>
            </c:strRef>
          </c:cat>
          <c:val>
            <c:numRef>
              <c:f>Sheet1!$D$31:$D$35</c:f>
              <c:numCache>
                <c:formatCode>0</c:formatCode>
                <c:ptCount val="4"/>
                <c:pt idx="0">
                  <c:v>4.5</c:v>
                </c:pt>
                <c:pt idx="1">
                  <c:v>4.8</c:v>
                </c:pt>
                <c:pt idx="2">
                  <c:v>4.4000000000000004</c:v>
                </c:pt>
                <c:pt idx="3">
                  <c:v>4.2</c:v>
                </c:pt>
              </c:numCache>
            </c:numRef>
          </c:val>
          <c:extLst>
            <c:ext xmlns:c16="http://schemas.microsoft.com/office/drawing/2014/chart" uri="{C3380CC4-5D6E-409C-BE32-E72D297353CC}">
              <c16:uniqueId val="{00000002-5F3E-4955-BBB8-1A8E20F01A2D}"/>
            </c:ext>
          </c:extLst>
        </c:ser>
        <c:dLbls>
          <c:showLegendKey val="0"/>
          <c:showVal val="0"/>
          <c:showCatName val="0"/>
          <c:showSerName val="0"/>
          <c:showPercent val="0"/>
          <c:showBubbleSize val="0"/>
        </c:dLbls>
        <c:gapWidth val="219"/>
        <c:overlap val="-27"/>
        <c:axId val="1667468807"/>
        <c:axId val="1701877255"/>
      </c:barChart>
      <c:catAx>
        <c:axId val="1667468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77255"/>
        <c:crosses val="autoZero"/>
        <c:auto val="1"/>
        <c:lblAlgn val="ctr"/>
        <c:lblOffset val="100"/>
        <c:noMultiLvlLbl val="0"/>
      </c:catAx>
      <c:valAx>
        <c:axId val="1701877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468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Category Drives the Most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404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404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Sum of rating_count</c:v>
                </c:pt>
              </c:strCache>
            </c:strRef>
          </c:tx>
          <c:spPr>
            <a:solidFill>
              <a:srgbClr val="404040"/>
            </a:solidFill>
            <a:ln>
              <a:noFill/>
            </a:ln>
            <a:effectLst/>
          </c:spPr>
          <c:invertIfNegative val="0"/>
          <c:cat>
            <c:strRef>
              <c:f>Sheet2!$A$4:$A$5</c:f>
              <c:strCache>
                <c:ptCount val="1"/>
                <c:pt idx="0">
                  <c:v>AirFryers</c:v>
                </c:pt>
              </c:strCache>
            </c:strRef>
          </c:cat>
          <c:val>
            <c:numRef>
              <c:f>Sheet2!$B$4:$B$5</c:f>
              <c:numCache>
                <c:formatCode>General</c:formatCode>
                <c:ptCount val="1"/>
                <c:pt idx="0">
                  <c:v>12237</c:v>
                </c:pt>
              </c:numCache>
            </c:numRef>
          </c:val>
          <c:extLst>
            <c:ext xmlns:c16="http://schemas.microsoft.com/office/drawing/2014/chart" uri="{C3380CC4-5D6E-409C-BE32-E72D297353CC}">
              <c16:uniqueId val="{00000000-6BC0-4EAE-8059-282C7FA75CD4}"/>
            </c:ext>
          </c:extLst>
        </c:ser>
        <c:ser>
          <c:idx val="1"/>
          <c:order val="1"/>
          <c:tx>
            <c:strRef>
              <c:f>Sheet2!$C$3</c:f>
              <c:strCache>
                <c:ptCount val="1"/>
                <c:pt idx="0">
                  <c:v>Average of discount_percentage</c:v>
                </c:pt>
              </c:strCache>
            </c:strRef>
          </c:tx>
          <c:spPr>
            <a:solidFill>
              <a:srgbClr val="404040"/>
            </a:solidFill>
            <a:ln>
              <a:noFill/>
            </a:ln>
            <a:effectLst/>
          </c:spPr>
          <c:invertIfNegative val="0"/>
          <c:cat>
            <c:strRef>
              <c:f>Sheet2!$A$4:$A$5</c:f>
              <c:strCache>
                <c:ptCount val="1"/>
                <c:pt idx="0">
                  <c:v>AirFryers</c:v>
                </c:pt>
              </c:strCache>
            </c:strRef>
          </c:cat>
          <c:val>
            <c:numRef>
              <c:f>Sheet2!$C$4:$C$5</c:f>
              <c:numCache>
                <c:formatCode>0</c:formatCode>
                <c:ptCount val="1"/>
                <c:pt idx="0">
                  <c:v>44</c:v>
                </c:pt>
              </c:numCache>
            </c:numRef>
          </c:val>
          <c:extLst>
            <c:ext xmlns:c16="http://schemas.microsoft.com/office/drawing/2014/chart" uri="{C3380CC4-5D6E-409C-BE32-E72D297353CC}">
              <c16:uniqueId val="{00000001-6BC0-4EAE-8059-282C7FA75CD4}"/>
            </c:ext>
          </c:extLst>
        </c:ser>
        <c:dLbls>
          <c:showLegendKey val="0"/>
          <c:showVal val="0"/>
          <c:showCatName val="0"/>
          <c:showSerName val="0"/>
          <c:showPercent val="0"/>
          <c:showBubbleSize val="0"/>
        </c:dLbls>
        <c:gapWidth val="182"/>
        <c:axId val="760589831"/>
        <c:axId val="760609799"/>
      </c:barChart>
      <c:catAx>
        <c:axId val="760589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09799"/>
        <c:crosses val="autoZero"/>
        <c:auto val="1"/>
        <c:lblAlgn val="ctr"/>
        <c:lblOffset val="100"/>
        <c:noMultiLvlLbl val="0"/>
      </c:catAx>
      <c:valAx>
        <c:axId val="760609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589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[amazon.xlsx]Sheet3!PivotTable4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04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rgbClr val="404040"/>
            </a:solidFill>
            <a:ln>
              <a:noFill/>
            </a:ln>
            <a:effectLst/>
          </c:spPr>
          <c:invertIfNegative val="0"/>
          <c:cat>
            <c:strRef>
              <c:f>Sheet3!$A$4:$A$8</c:f>
              <c:strCache>
                <c:ptCount val="4"/>
                <c:pt idx="0">
                  <c:v>Philips</c:v>
                </c:pt>
                <c:pt idx="1">
                  <c:v>Instant</c:v>
                </c:pt>
                <c:pt idx="2">
                  <c:v>INALSA</c:v>
                </c:pt>
                <c:pt idx="3">
                  <c:v>Pigeon</c:v>
                </c:pt>
              </c:strCache>
            </c:strRef>
          </c:cat>
          <c:val>
            <c:numRef>
              <c:f>Sheet3!$B$4:$B$8</c:f>
              <c:numCache>
                <c:formatCode>General</c:formatCode>
                <c:ptCount val="4"/>
                <c:pt idx="0">
                  <c:v>4945</c:v>
                </c:pt>
                <c:pt idx="1">
                  <c:v>3964</c:v>
                </c:pt>
                <c:pt idx="2">
                  <c:v>3192</c:v>
                </c:pt>
                <c:pt idx="3">
                  <c:v>136</c:v>
                </c:pt>
              </c:numCache>
            </c:numRef>
          </c:val>
          <c:extLst>
            <c:ext xmlns:c16="http://schemas.microsoft.com/office/drawing/2014/chart" uri="{C3380CC4-5D6E-409C-BE32-E72D297353CC}">
              <c16:uniqueId val="{00000000-78BA-421F-8974-7D02D6A78814}"/>
            </c:ext>
          </c:extLst>
        </c:ser>
        <c:dLbls>
          <c:showLegendKey val="0"/>
          <c:showVal val="0"/>
          <c:showCatName val="0"/>
          <c:showSerName val="0"/>
          <c:showPercent val="0"/>
          <c:showBubbleSize val="0"/>
        </c:dLbls>
        <c:gapWidth val="182"/>
        <c:axId val="754999815"/>
        <c:axId val="988171271"/>
      </c:barChart>
      <c:catAx>
        <c:axId val="754999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71271"/>
        <c:crosses val="autoZero"/>
        <c:auto val="1"/>
        <c:lblAlgn val="ctr"/>
        <c:lblOffset val="100"/>
        <c:noMultiLvlLbl val="0"/>
      </c:catAx>
      <c:valAx>
        <c:axId val="988171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99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[amazon.xlsx]Sheet4!PivotTable5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4040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D0D0D"/>
            </a:solidFill>
            <a:prstDash val="solid"/>
            <a:round/>
          </a:ln>
          <a:effectLst/>
        </c:spPr>
        <c:marker>
          <c:symbol val="circle"/>
          <c:size val="5"/>
          <c:spPr>
            <a:solidFill>
              <a:srgbClr val="0D0D0D"/>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Average of discounted_price</c:v>
                </c:pt>
              </c:strCache>
            </c:strRef>
          </c:tx>
          <c:spPr>
            <a:solidFill>
              <a:srgbClr val="404040"/>
            </a:solidFill>
            <a:ln>
              <a:noFill/>
            </a:ln>
            <a:effectLst/>
          </c:spPr>
          <c:invertIfNegative val="0"/>
          <c:cat>
            <c:strRef>
              <c:f>Sheet4!$A$4:$A$8</c:f>
              <c:strCache>
                <c:ptCount val="4"/>
                <c:pt idx="0">
                  <c:v>INALSA</c:v>
                </c:pt>
                <c:pt idx="1">
                  <c:v>Instant</c:v>
                </c:pt>
                <c:pt idx="2">
                  <c:v>Philips</c:v>
                </c:pt>
                <c:pt idx="3">
                  <c:v>Pigeon</c:v>
                </c:pt>
              </c:strCache>
            </c:strRef>
          </c:cat>
          <c:val>
            <c:numRef>
              <c:f>Sheet4!$B$4:$B$8</c:f>
              <c:numCache>
                <c:formatCode>0</c:formatCode>
                <c:ptCount val="4"/>
                <c:pt idx="0">
                  <c:v>6790</c:v>
                </c:pt>
                <c:pt idx="1">
                  <c:v>4995</c:v>
                </c:pt>
                <c:pt idx="2">
                  <c:v>7999</c:v>
                </c:pt>
                <c:pt idx="3">
                  <c:v>3599</c:v>
                </c:pt>
              </c:numCache>
            </c:numRef>
          </c:val>
          <c:extLst>
            <c:ext xmlns:c16="http://schemas.microsoft.com/office/drawing/2014/chart" uri="{C3380CC4-5D6E-409C-BE32-E72D297353CC}">
              <c16:uniqueId val="{00000000-E7B6-4E5B-9358-EBB937C2EDA9}"/>
            </c:ext>
          </c:extLst>
        </c:ser>
        <c:dLbls>
          <c:showLegendKey val="0"/>
          <c:showVal val="0"/>
          <c:showCatName val="0"/>
          <c:showSerName val="0"/>
          <c:showPercent val="0"/>
          <c:showBubbleSize val="0"/>
        </c:dLbls>
        <c:gapWidth val="150"/>
        <c:axId val="1675805191"/>
        <c:axId val="1675807239"/>
      </c:barChart>
      <c:lineChart>
        <c:grouping val="standard"/>
        <c:varyColors val="0"/>
        <c:ser>
          <c:idx val="1"/>
          <c:order val="1"/>
          <c:tx>
            <c:strRef>
              <c:f>Sheet4!$C$3</c:f>
              <c:strCache>
                <c:ptCount val="1"/>
                <c:pt idx="0">
                  <c:v>Average of rating</c:v>
                </c:pt>
              </c:strCache>
            </c:strRef>
          </c:tx>
          <c:spPr>
            <a:ln w="28575" cap="rnd">
              <a:solidFill>
                <a:srgbClr val="0D0D0D"/>
              </a:solidFill>
              <a:prstDash val="solid"/>
              <a:round/>
            </a:ln>
            <a:effectLst/>
          </c:spPr>
          <c:marker>
            <c:symbol val="circle"/>
            <c:size val="5"/>
            <c:spPr>
              <a:solidFill>
                <a:srgbClr val="0D0D0D"/>
              </a:solidFill>
              <a:ln w="9525">
                <a:solidFill>
                  <a:srgbClr val="E3008C"/>
                </a:solidFill>
              </a:ln>
              <a:effectLst/>
            </c:spPr>
          </c:marker>
          <c:cat>
            <c:strRef>
              <c:f>Sheet4!$A$4:$A$8</c:f>
              <c:strCache>
                <c:ptCount val="4"/>
                <c:pt idx="0">
                  <c:v>INALSA</c:v>
                </c:pt>
                <c:pt idx="1">
                  <c:v>Instant</c:v>
                </c:pt>
                <c:pt idx="2">
                  <c:v>Philips</c:v>
                </c:pt>
                <c:pt idx="3">
                  <c:v>Pigeon</c:v>
                </c:pt>
              </c:strCache>
            </c:strRef>
          </c:cat>
          <c:val>
            <c:numRef>
              <c:f>Sheet4!$C$4:$C$8</c:f>
              <c:numCache>
                <c:formatCode>0.0</c:formatCode>
                <c:ptCount val="4"/>
                <c:pt idx="0">
                  <c:v>4.5</c:v>
                </c:pt>
                <c:pt idx="1">
                  <c:v>4.8</c:v>
                </c:pt>
                <c:pt idx="2">
                  <c:v>4.4000000000000004</c:v>
                </c:pt>
                <c:pt idx="3">
                  <c:v>4.2</c:v>
                </c:pt>
              </c:numCache>
            </c:numRef>
          </c:val>
          <c:smooth val="0"/>
          <c:extLst>
            <c:ext xmlns:c16="http://schemas.microsoft.com/office/drawing/2014/chart" uri="{C3380CC4-5D6E-409C-BE32-E72D297353CC}">
              <c16:uniqueId val="{00000001-E7B6-4E5B-9358-EBB937C2EDA9}"/>
            </c:ext>
          </c:extLst>
        </c:ser>
        <c:dLbls>
          <c:showLegendKey val="0"/>
          <c:showVal val="0"/>
          <c:showCatName val="0"/>
          <c:showSerName val="0"/>
          <c:showPercent val="0"/>
          <c:showBubbleSize val="0"/>
        </c:dLbls>
        <c:marker val="1"/>
        <c:smooth val="0"/>
        <c:axId val="1675805191"/>
        <c:axId val="1675807239"/>
      </c:lineChart>
      <c:catAx>
        <c:axId val="1675805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807239"/>
        <c:crosses val="autoZero"/>
        <c:auto val="1"/>
        <c:lblAlgn val="ctr"/>
        <c:lblOffset val="100"/>
        <c:noMultiLvlLbl val="0"/>
      </c:catAx>
      <c:valAx>
        <c:axId val="1675807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805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15</xdr:row>
      <xdr:rowOff>133350</xdr:rowOff>
    </xdr:from>
    <xdr:to>
      <xdr:col>1</xdr:col>
      <xdr:colOff>809625</xdr:colOff>
      <xdr:row>27</xdr:row>
      <xdr:rowOff>133350</xdr:rowOff>
    </xdr:to>
    <mc:AlternateContent xmlns:mc="http://schemas.openxmlformats.org/markup-compatibility/2006">
      <mc:Choice xmlns:a14="http://schemas.microsoft.com/office/drawing/2010/main" Requires="a14">
        <xdr:graphicFrame macro="">
          <xdr:nvGraphicFramePr>
            <xdr:cNvPr id="6" name="product_type">
              <a:extLst>
                <a:ext uri="{FF2B5EF4-FFF2-40B4-BE49-F238E27FC236}">
                  <a16:creationId xmlns:a16="http://schemas.microsoft.com/office/drawing/2014/main" id="{778E2E6A-23DC-DE35-0DA8-F75EB205D320}"/>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dr:sp macro="" textlink="">
          <xdr:nvSpPr>
            <xdr:cNvPr id="0" name=""/>
            <xdr:cNvSpPr>
              <a:spLocks noTextEdit="1"/>
            </xdr:cNvSpPr>
          </xdr:nvSpPr>
          <xdr:spPr>
            <a:xfrm>
              <a:off x="47625" y="2990850"/>
              <a:ext cx="1828800" cy="2286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fLocksWithSheet="0" fPrintsWithSheet="0"/>
  </xdr:twoCellAnchor>
  <xdr:twoCellAnchor>
    <xdr:from>
      <xdr:col>0</xdr:col>
      <xdr:colOff>47625</xdr:colOff>
      <xdr:row>3</xdr:row>
      <xdr:rowOff>57150</xdr:rowOff>
    </xdr:from>
    <xdr:to>
      <xdr:col>1</xdr:col>
      <xdr:colOff>809625</xdr:colOff>
      <xdr:row>15</xdr:row>
      <xdr:rowOff>57150</xdr:rowOff>
    </xdr:to>
    <mc:AlternateContent xmlns:mc="http://schemas.openxmlformats.org/markup-compatibility/2006">
      <mc:Choice xmlns:a14="http://schemas.microsoft.com/office/drawing/2010/main" Requires="a14">
        <xdr:graphicFrame macro="">
          <xdr:nvGraphicFramePr>
            <xdr:cNvPr id="7" name="main_category">
              <a:extLst>
                <a:ext uri="{FF2B5EF4-FFF2-40B4-BE49-F238E27FC236}">
                  <a16:creationId xmlns:a16="http://schemas.microsoft.com/office/drawing/2014/main" id="{AB97814C-305B-C4AE-82C0-03B29DC8613E}"/>
                </a:ext>
                <a:ext uri="{147F2762-F138-4A5C-976F-8EAC2B608ADB}">
                  <a16:predDERef xmlns:a16="http://schemas.microsoft.com/office/drawing/2014/main" pred="{778E2E6A-23DC-DE35-0DA8-F75EB205D320}"/>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dr:sp macro="" textlink="">
          <xdr:nvSpPr>
            <xdr:cNvPr id="0" name=""/>
            <xdr:cNvSpPr>
              <a:spLocks noTextEdit="1"/>
            </xdr:cNvSpPr>
          </xdr:nvSpPr>
          <xdr:spPr>
            <a:xfrm>
              <a:off x="47625" y="628650"/>
              <a:ext cx="1828800" cy="2286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fLocksWithSheet="0" fPrintsWithSheet="0"/>
  </xdr:twoCellAnchor>
  <xdr:twoCellAnchor>
    <xdr:from>
      <xdr:col>1</xdr:col>
      <xdr:colOff>876300</xdr:colOff>
      <xdr:row>3</xdr:row>
      <xdr:rowOff>47625</xdr:rowOff>
    </xdr:from>
    <xdr:to>
      <xdr:col>5</xdr:col>
      <xdr:colOff>38100</xdr:colOff>
      <xdr:row>15</xdr:row>
      <xdr:rowOff>47625</xdr:rowOff>
    </xdr:to>
    <xdr:graphicFrame macro="">
      <xdr:nvGraphicFramePr>
        <xdr:cNvPr id="8" name="Chart 7">
          <a:extLst>
            <a:ext uri="{FF2B5EF4-FFF2-40B4-BE49-F238E27FC236}">
              <a16:creationId xmlns:a16="http://schemas.microsoft.com/office/drawing/2014/main" id="{15D6CE6C-BE12-4370-8006-7B35B3731974}"/>
            </a:ext>
            <a:ext uri="{147F2762-F138-4A5C-976F-8EAC2B608ADB}">
              <a16:predDERef xmlns:a16="http://schemas.microsoft.com/office/drawing/2014/main" pred="{AB97814C-305B-C4AE-82C0-03B29DC86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3</xdr:row>
      <xdr:rowOff>38100</xdr:rowOff>
    </xdr:from>
    <xdr:to>
      <xdr:col>10</xdr:col>
      <xdr:colOff>552450</xdr:colOff>
      <xdr:row>15</xdr:row>
      <xdr:rowOff>28575</xdr:rowOff>
    </xdr:to>
    <xdr:graphicFrame macro="">
      <xdr:nvGraphicFramePr>
        <xdr:cNvPr id="9" name="Chart 8">
          <a:extLst>
            <a:ext uri="{FF2B5EF4-FFF2-40B4-BE49-F238E27FC236}">
              <a16:creationId xmlns:a16="http://schemas.microsoft.com/office/drawing/2014/main" id="{1F800235-10C6-40B6-991C-8C1A2665F27D}"/>
            </a:ext>
            <a:ext uri="{147F2762-F138-4A5C-976F-8EAC2B608ADB}">
              <a16:predDERef xmlns:a16="http://schemas.microsoft.com/office/drawing/2014/main" pred="{15D6CE6C-BE12-4370-8006-7B35B3731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857250</xdr:colOff>
      <xdr:row>15</xdr:row>
      <xdr:rowOff>142875</xdr:rowOff>
    </xdr:from>
    <xdr:to>
      <xdr:col>5</xdr:col>
      <xdr:colOff>9525</xdr:colOff>
      <xdr:row>27</xdr:row>
      <xdr:rowOff>123825</xdr:rowOff>
    </xdr:to>
    <xdr:graphicFrame macro="">
      <xdr:nvGraphicFramePr>
        <xdr:cNvPr id="10" name="Chart 9">
          <a:extLst>
            <a:ext uri="{FF2B5EF4-FFF2-40B4-BE49-F238E27FC236}">
              <a16:creationId xmlns:a16="http://schemas.microsoft.com/office/drawing/2014/main" id="{B6C2E255-0DE7-4635-87A4-0AD18A4FF7C1}"/>
            </a:ext>
            <a:ext uri="{147F2762-F138-4A5C-976F-8EAC2B608ADB}">
              <a16:predDERef xmlns:a16="http://schemas.microsoft.com/office/drawing/2014/main" pred="{1F800235-10C6-40B6-991C-8C1A2665F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15</xdr:row>
      <xdr:rowOff>123825</xdr:rowOff>
    </xdr:from>
    <xdr:to>
      <xdr:col>10</xdr:col>
      <xdr:colOff>561975</xdr:colOff>
      <xdr:row>27</xdr:row>
      <xdr:rowOff>104775</xdr:rowOff>
    </xdr:to>
    <xdr:graphicFrame macro="">
      <xdr:nvGraphicFramePr>
        <xdr:cNvPr id="11" name="Chart 10">
          <a:extLst>
            <a:ext uri="{FF2B5EF4-FFF2-40B4-BE49-F238E27FC236}">
              <a16:creationId xmlns:a16="http://schemas.microsoft.com/office/drawing/2014/main" id="{12863CA9-1E42-4248-BB34-21419A4AC778}"/>
            </a:ext>
            <a:ext uri="{147F2762-F138-4A5C-976F-8EAC2B608ADB}">
              <a16:predDERef xmlns:a16="http://schemas.microsoft.com/office/drawing/2014/main" pred="{B6C2E255-0DE7-4635-87A4-0AD18A4FF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3.60884375" createdVersion="8" refreshedVersion="8" minRefreshableVersion="3" recordCount="1384" xr:uid="{A68DBD4E-9B49-4094-AAA9-E52F47069FF9}">
  <cacheSource type="worksheet">
    <worksheetSource name="Table2"/>
  </cacheSource>
  <cacheFields count="10">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9-1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9-1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9-1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product_type" numFmtId="0">
      <sharedItems count="404">
        <s v="Wayona"/>
        <s v="Ambrane"/>
        <s v="Sounce"/>
        <s v="boAt"/>
        <s v="Portronics"/>
        <s v="pTron"/>
        <s v="MI"/>
        <s v="TP-Link"/>
        <s v="AmazonBasics"/>
        <s v="LG"/>
        <s v="Duracell"/>
        <s v="tizum"/>
        <s v="Samsung"/>
        <s v="Flix"/>
        <s v="Acer"/>
        <s v="OnePlus"/>
        <s v="Zoul"/>
        <s v="Wecool"/>
        <s v="D-Link"/>
        <s v="Amazon"/>
        <s v="7SEVENÂ®"/>
        <s v="VW"/>
        <s v="Tata"/>
        <s v="Airtel"/>
        <s v="Lapster"/>
        <s v="Redmi"/>
        <s v="Model-P4"/>
        <s v="oraimo"/>
        <s v="CEDO"/>
        <s v="Pinnaclz"/>
        <s v="TCL"/>
        <s v="SWAPKART"/>
        <s v="Firestick"/>
        <s v="SKYWALL"/>
        <s v="Gizga"/>
        <s v="ZEBRONICS"/>
        <s v="LOHAYA"/>
        <s v="Gilary"/>
        <s v="Dealfreez"/>
        <s v="Isoelite"/>
        <s v="CROSSVOLT"/>
        <s v="VU"/>
        <s v="Croma"/>
        <s v="Cotbolt"/>
        <s v="Electvision"/>
        <s v="King"/>
        <s v="Belkin"/>
        <s v="Remote"/>
        <s v="Hisense"/>
        <s v="iFFALCON"/>
        <s v="Saifsmart"/>
        <s v="10k"/>
        <s v="LRIPL"/>
        <s v="Kodak"/>
        <s v="BlueRigger"/>
        <s v="GENERIC"/>
        <s v="EGate"/>
        <s v="realme"/>
        <s v="Syncwire"/>
        <s v="Skadioo"/>
        <s v="Sony"/>
        <s v="Storite"/>
        <s v="Karbonn"/>
        <s v="Time"/>
        <s v="Caldipree"/>
        <s v="Universal"/>
        <s v="Amkette"/>
        <s v="POPIO"/>
        <s v="MYVN"/>
        <s v="WZATCO"/>
        <s v="Crypoâ„¢"/>
        <s v="Posh"/>
        <s v="Astigo"/>
        <s v="Caprigo"/>
        <s v="SoniVision"/>
        <s v="Rtsâ„¢"/>
        <s v="Agaro"/>
        <s v="Sansui"/>
        <s v="Hi-Mobiler"/>
        <s v="SmashtronicsÂ®"/>
        <s v="SVM"/>
        <s v="CableCreation"/>
        <s v="7SEVEN"/>
        <s v="Cubetek"/>
        <s v="KRISONS"/>
        <s v="Toshiba"/>
        <s v="Lenovo"/>
        <s v="Tuarso"/>
        <s v="PROLEGENDÂ®"/>
        <s v="WANBO"/>
        <s v="Lava"/>
        <s v="Technotech"/>
        <s v="NK"/>
        <s v="LS"/>
        <s v="ZORBESÂ®"/>
        <s v="Synqe"/>
        <s v="Bestor"/>
        <s v="Irusu"/>
        <s v="Shopoflux"/>
        <s v="EYNK"/>
        <s v="LUNAGARIYAÂ®,"/>
        <s v="PRUSHTI"/>
        <s v="Aine"/>
        <s v="REDTECH"/>
        <s v="ESR"/>
        <s v="Fire-Boltt"/>
        <s v="SanDisk"/>
        <s v="Noise"/>
        <s v="Nokia"/>
        <s v="JBL"/>
        <s v="ELV"/>
        <s v="iQOO"/>
        <s v="OPPO"/>
        <s v="Tygot"/>
        <s v="STRIFF"/>
        <s v="USB"/>
        <s v="Goldmedal"/>
        <s v="HP"/>
        <s v="Spigen"/>
        <s v="Motorola"/>
        <s v="KINGONE"/>
        <s v="Amozo"/>
        <s v="Tecno"/>
        <s v="Tukzer"/>
        <s v="Newly"/>
        <s v="Kyosei"/>
        <s v="OpenTechÂ®"/>
        <s v="EN"/>
        <s v="URBN"/>
        <s v="iPhone"/>
        <s v="LIRAMARK"/>
        <s v="SHREENOVA"/>
        <s v="POCO"/>
        <s v="Noise_Colorfit"/>
        <s v="10WeRun"/>
        <s v="Tokdis"/>
        <s v="Prolet"/>
        <s v="Mobilife"/>
        <s v="DYAZO"/>
        <s v="Logitech"/>
        <s v="Storio"/>
        <s v="SKE"/>
        <s v="Boult"/>
        <s v="Dell"/>
        <s v="Boya"/>
        <s v="Classmate"/>
        <s v="3M"/>
        <s v="Seagate"/>
        <s v="SYVO"/>
        <s v="Casio"/>
        <s v="DIGITEKÂ®"/>
        <s v="Eveready"/>
        <s v="PIDILITE"/>
        <s v="Oakter"/>
        <s v="Xiaomi"/>
        <s v="Zodo"/>
        <s v="Panasonic"/>
        <s v="MemeHoÂ®"/>
        <s v="Epson"/>
        <s v="Quantum"/>
        <s v="rts"/>
        <s v="Digitek"/>
        <s v="COI"/>
        <s v="Fujifilm"/>
        <s v="E-COSMOS"/>
        <s v="AirCase"/>
        <s v="Robustrion"/>
        <s v="Redgear"/>
        <s v="Callas"/>
        <s v="Kanget"/>
        <s v="Infinity"/>
        <s v="Brand"/>
        <s v="Parker"/>
        <s v="Luxor"/>
        <s v="Tarkan"/>
        <s v="HUMBLE"/>
        <s v="Crucial"/>
        <s v="APC"/>
        <s v="Wembley"/>
        <s v="Western"/>
        <s v="Zinq"/>
        <s v="MAONO"/>
        <s v="TABLE"/>
        <s v="ESnipe"/>
        <s v="BRUSTRO"/>
        <s v="Cuzor"/>
        <s v="INOVERA"/>
        <s v="TVARA"/>
        <s v="RESONATE"/>
        <s v="OFIXO"/>
        <s v="FEDUS"/>
        <s v="Kingston"/>
        <s v="ENVIEÂ®"/>
        <s v="VeriluxÂ®"/>
        <s v="Anjaney"/>
        <s v="ENVIE"/>
        <s v="ProElite"/>
        <s v="Pentonic"/>
        <s v="Apsara"/>
        <s v="Ant"/>
        <s v="Pilot"/>
        <s v="IT2M"/>
        <s v="KLAM"/>
        <s v="CP"/>
        <s v="RPM"/>
        <s v="Wacom"/>
        <s v="Zebronics,"/>
        <s v="Camel"/>
        <s v="SupCares"/>
        <s v="Qubo"/>
        <s v="Redragon"/>
        <s v="Silicone"/>
        <s v="Canon"/>
        <s v="Faber-Castell"/>
        <s v="SaleOnâ„¢"/>
        <s v="Wings"/>
        <s v="Cablet"/>
        <s v="RC"/>
        <s v="Amazfit"/>
        <s v="TabelitoÂ®"/>
        <s v="Scarters"/>
        <s v="SLOVICÂ®"/>
        <s v="Orico"/>
        <s v="Artis"/>
        <s v="Imou"/>
        <s v="Sennheiser"/>
        <s v="HB"/>
        <s v="Foxin"/>
        <s v="PC"/>
        <s v="Inventis"/>
        <s v="OffbeatÂ®"/>
        <s v="Camlin"/>
        <s v="CARECASEÂ®"/>
        <s v="BESTORÂ®"/>
        <s v="Pigeon"/>
        <s v="USHA"/>
        <s v="StyleHouse"/>
        <s v="beatXP"/>
        <s v="Glun"/>
        <s v="Prestige"/>
        <s v="Bajaj"/>
        <s v="SHOPTOSHOP"/>
        <s v="Orpat"/>
        <s v="PRO365"/>
        <s v="Havells"/>
        <s v="Morphy"/>
        <s v="KENT"/>
        <s v="Lifelong"/>
        <s v="R"/>
        <s v="INALSA"/>
        <s v="PrettyKrafts"/>
        <s v="Philips"/>
        <s v="NutriPro"/>
        <s v="Butterfly"/>
        <s v="SOFLIN"/>
        <s v="Orient"/>
        <s v="Bulfyss"/>
        <s v="Room"/>
        <s v="Wonderchef"/>
        <s v="Crompton"/>
        <s v="Borosil"/>
        <s v="Simxen"/>
        <s v="HealthSense"/>
        <s v="Bosch"/>
        <s v="VR"/>
        <s v="Eureka"/>
        <s v="Maharaja"/>
        <s v="GILTON"/>
        <s v="Milton"/>
        <s v="Kuber"/>
        <s v="IKEA"/>
        <s v="Lint"/>
        <s v="C"/>
        <s v="Luminous"/>
        <s v="Wipro"/>
        <s v="Kitchen"/>
        <s v="HUL"/>
        <s v="Preethi"/>
        <s v="Themisto"/>
        <s v="InstaCuppa"/>
        <s v="White"/>
        <s v="SAIELLIN"/>
        <s v="Cookwell"/>
        <s v="Swiffer"/>
        <s v="Hindware"/>
        <s v="ATOM"/>
        <s v="Portable"/>
        <s v="atomberg"/>
        <s v="Reffair"/>
        <s v="!!1000"/>
        <s v="Activa"/>
        <s v="V-Guard"/>
        <s v="Homeistic"/>
        <s v="Kitchenwell"/>
        <s v="SKYTONE"/>
        <s v="FABWARE"/>
        <s v="Brayden"/>
        <s v="Venus"/>
        <s v="Coway"/>
        <s v="HOMEPACK"/>
        <s v="Heart"/>
        <s v="iBELL"/>
        <s v="Tosaa"/>
        <s v="AkiaraÂ®"/>
        <s v="WIDEWINGS"/>
        <s v="Vedini"/>
        <s v="JM"/>
        <s v="Oratech"/>
        <s v="Pick"/>
        <s v="Rico"/>
        <s v="Aquasure"/>
        <s v="ROYAL"/>
        <s v="ENEM"/>
        <s v="VRPRIME"/>
        <s v="Eopora"/>
        <s v="FIGMENT"/>
        <s v="Balzano"/>
        <s v="Swiss"/>
        <s v="Zuvexa"/>
        <s v="INDIASÂ®â„¢"/>
        <s v="Sui"/>
        <s v="Esquire"/>
        <s v="Black+Decker"/>
        <s v="Personal"/>
        <s v="Sujata"/>
        <s v="Sure"/>
        <s v="Dr"/>
        <s v="Tesora"/>
        <s v="akiara"/>
        <s v="CSI"/>
        <s v="Gadgetronics"/>
        <s v="Tom"/>
        <s v="House"/>
        <s v="Allin"/>
        <s v="Multifunctional"/>
        <s v="Candes"/>
        <s v="MR."/>
        <s v="Aquadpure"/>
        <s v="!!HANEUL!!1000"/>
        <s v="Melbon"/>
        <s v="Cello"/>
        <s v="Shakti"/>
        <s v="AMERICAN"/>
        <s v="Demokrazy"/>
        <s v="Instant"/>
        <s v="Livpure"/>
        <s v="ECOVACS"/>
        <s v="AVNISH"/>
        <s v="Khaitan"/>
        <s v="Nirdambhay"/>
        <s v="ProvenÂ®"/>
        <s v="AO"/>
        <s v="Aquaguard"/>
        <s v="Milk"/>
        <s v="Goodscity"/>
        <s v="Solidaire"/>
        <s v="Black"/>
        <s v="Longway"/>
        <s v="Singer"/>
        <s v="Racold"/>
        <s v="Green"/>
        <s v="SaleOn"/>
        <s v="Kenstar"/>
        <s v="NEXOMS"/>
        <s v="JIALTO"/>
        <s v="Ionix"/>
        <s v="ESN"/>
        <s v="PajakaÂ®"/>
        <s v="Saiyam"/>
        <s v="KONVIO"/>
        <s v="Raffles"/>
        <s v="KNYUC"/>
        <s v="INKULTURE"/>
        <s v="Macmillan"/>
        <s v="TEâ„¢"/>
        <s v="ZIGMA"/>
        <s v="TTK"/>
        <s v="VAPJAÂ®"/>
        <s v="Campfire"/>
        <s v="FYA"/>
        <s v="T"/>
        <s v="Empty"/>
        <s v="LONAXA"/>
        <s v="Cafe"/>
        <s v="Wolpin"/>
        <s v="Abode"/>
        <s v="CARDEX"/>
        <s v="Aqua"/>
        <s v="Libra"/>
        <s v="Glen"/>
        <s v="Dynore"/>
        <s v="Monitor"/>
        <s v="LACOPINE"/>
        <s v="Portable,"/>
        <s v="Karcher"/>
        <s v="Eco"/>
        <s v="Larrito"/>
        <s v="Hilton"/>
        <s v="Syska"/>
        <s v="Kitchengenix's"/>
        <s v="KNOWZA"/>
        <s v="4"/>
        <s v="NGI"/>
        <s v="Noir"/>
      </sharedItems>
    </cacheField>
    <cacheField name="main_category" numFmtId="0">
      <sharedItems count="207">
        <s v="USBCables"/>
        <s v="WirelessUSBAdapters"/>
        <s v="HDMICables"/>
        <s v="SmartTelevisions"/>
        <s v="RemoteControls"/>
        <s v="StandardTelevisions"/>
        <s v="TVWall&amp;CeilingMounts"/>
        <s v="RCACables"/>
        <s v="Mounts"/>
        <s v="OpticalCables"/>
        <s v="Projectors"/>
        <s v="Adapters"/>
        <s v="SatelliteReceivers"/>
        <s v="DVICables"/>
        <s v="SpeakerCables"/>
        <s v="StreamingClients"/>
        <s v="AVReceivers&amp;Amplifiers"/>
        <s v="TowerSpeakers"/>
        <s v="3DGlasses"/>
        <s v="SmartWatches"/>
        <s v="PowerBanks"/>
        <s v="Smartphones"/>
        <s v="MicroSD"/>
        <s v="BasicMobiles"/>
        <s v="In-Ear"/>
        <s v="AutomobileChargers"/>
        <s v="Cradles"/>
        <s v="WallChargers"/>
        <s v="OTGAdapters"/>
        <s v="Tripods"/>
        <s v="SelfieSticks"/>
        <s v="Stands"/>
        <s v="CableConnectionProtectors"/>
        <s v="DÃ©cor"/>
        <s v="ScreenProtectors"/>
        <s v="StylusPens"/>
        <s v="Bedstand&amp;DeskMounts"/>
        <s v="BasicCases"/>
        <s v="HandlebarMounts"/>
        <s v="On-Ear"/>
        <s v="CameraPrivacyCovers"/>
        <s v="PhoneCharms"/>
        <s v="Shower&amp;WallMounts"/>
        <s v="PenDrives"/>
        <s v="Mice"/>
        <s v="GraphicTablets"/>
        <s v="Lapdesks"/>
        <s v="NotebookComputerStands"/>
        <s v="Keyboards"/>
        <s v="Condenser"/>
        <s v="DisposableBatteries"/>
        <s v="GelInkRollerballPens"/>
        <s v="Tape"/>
        <s v="Keyboard&amp;MouseSets"/>
        <s v="ExternalHardDisks"/>
        <s v="VideoCameras"/>
        <s v="Tabletop&amp;TravelTripods"/>
        <s v="Scientific"/>
        <s v="Repeaters&amp;Extenders"/>
        <s v="TripodLegs"/>
        <s v="InkjetInkCartridges"/>
        <s v="DustCovers"/>
        <s v="GamingMice"/>
        <s v="Paints"/>
        <s v="MousePads"/>
        <s v="HardDiskBags"/>
        <s v="Macro&amp;RinglightFlashes"/>
        <s v="NetworkingDevices"/>
        <s v="Routers"/>
        <s v="Over-Ear"/>
        <s v="BluetoothSpeakers"/>
        <s v="GeneralPurposeBatteries&amp;BatteryChargers"/>
        <s v="WireboundNotebooks"/>
        <s v="RechargeableBatteries"/>
        <s v="BluetoothAdapters"/>
        <s v="USBtoUSBAdapters"/>
        <s v="CompleteTripodUnits"/>
        <s v="Notepads&amp;MemoBooks"/>
        <s v="Film"/>
        <s v="Monitors"/>
        <s v="Lamps"/>
        <s v="CleaningKits"/>
        <s v="DomeCameras"/>
        <s v="Gamepads"/>
        <s v="Basic"/>
        <s v="USBHubs"/>
        <s v="PCMicrophones"/>
        <s v="OutdoorSpeakers"/>
        <s v="LaptopSleeves&amp;Slipcases"/>
        <s v="ExternalMemoryCardReaders"/>
        <s v="BottledInk"/>
        <s v="CompositionNotebooks"/>
        <s v="RetractableBallpointPens"/>
        <s v="EthernetCables"/>
        <s v="Memory"/>
        <s v="UninterruptedPowerSupplies"/>
        <s v="Cases"/>
        <s v="SecureDigitalCards"/>
        <s v="SelfieLights"/>
        <s v="Webcams"/>
        <s v="CoolingPads"/>
        <s v="LaptopAccessories"/>
        <s v="Adapters&amp;Multi-Outlets"/>
        <s v="ColouredPaper"/>
        <s v="InternalSolidStateDrives"/>
        <s v="MultimediaSpeakerSystems"/>
        <s v="DataCards&amp;Dongles"/>
        <s v="LaptopChargers&amp;PowerSupplies"/>
        <s v="PCSpeakers"/>
        <s v="BatteryChargers"/>
        <s v="StickBallpointPens"/>
        <s v="WoodenPencils"/>
        <s v="InternalHardDrives"/>
        <s v="Printers"/>
        <s v="Pens"/>
        <s v="SATACables"/>
        <s v="PCHeadsets"/>
        <s v="GamingKeyboards"/>
        <s v="SoundbarSpeakers"/>
        <s v="Earpads"/>
        <s v="InkjetPrinters"/>
        <s v="ColouringPens&amp;Markers"/>
        <s v="Headsets"/>
        <s v="ExternalSolidStateDrives"/>
        <s v="PowerLANAdapters"/>
        <s v="InkjetInkRefills&amp;Kits"/>
        <s v="Notebooks,WritingPads&amp;Diaries"/>
        <s v="BackgroundSupports"/>
        <s v="Financial&amp;Business"/>
        <s v="SurgeProtectors"/>
        <s v="Tablets"/>
        <s v="CordManagement"/>
        <s v="PaintingMaterials"/>
        <s v="TonerCartridges"/>
        <s v="LiquidInkRollerballPens"/>
        <s v="FountainPens"/>
        <s v="Caddies"/>
        <s v="TraditionalLaptops"/>
        <s v="ElectricKettles"/>
        <s v="ElectricHeaters"/>
        <s v="FanHeaters"/>
        <s v="LintShavers"/>
        <s v="DigitalKitchenScales"/>
        <s v="Choppers"/>
        <s v="InductionCooktop"/>
        <s v="HandBlenders"/>
        <s v="DryIrons"/>
        <s v="MixerGrinders"/>
        <s v="InstantWaterHeaters"/>
        <s v="RoomHeaters"/>
        <s v="Kettle&amp;ToasterSets"/>
        <s v="StorageWaterHeaters"/>
        <s v="ImmersionRods"/>
        <s v="AirFryers"/>
        <s v="LaundryBaskets"/>
        <s v="SteamIrons"/>
        <s v="JuicerMixerGrinders"/>
        <s v="HandheldVacuums"/>
        <s v="EggBoilers"/>
        <s v="SandwichMakers"/>
        <s v="MiniFoodProcessors&amp;Choppers"/>
        <s v="DigitalScales"/>
        <s v="VacuumSealers"/>
        <s v="CeilingFans"/>
        <s v="CanisterVacuums"/>
        <s v="PressureWashers,Steam&amp;WindowCleaners"/>
        <s v="HalogenHeaters"/>
        <s v="Pop-upToasters"/>
        <s v="HeatConvectors"/>
        <s v="ElectricGrinders"/>
        <s v="ExhaustFans"/>
        <s v="DripCoffeeMachines"/>
        <s v="WaterPurifierAccessories"/>
        <s v="WaterCartridges"/>
        <s v="Rice&amp;PastaCookers"/>
        <s v="AirPurifiers&amp;Ionizers"/>
        <s v="Wet-DryVacuums"/>
        <s v="HEPAAirPurifiers"/>
        <s v="WaterFilters&amp;Purifiers"/>
        <s v="LaundryBags"/>
        <s v="Sewing&amp;EmbroideryMachines"/>
        <s v="SprayBottles"/>
        <s v="HandMixers"/>
        <s v="WetGrinders"/>
        <s v="OvenToasterGrills"/>
        <s v="Juicers"/>
        <s v="SmallKitchenAppliances"/>
        <s v="DigitalBathroomScales"/>
        <s v="EspressoMachines"/>
        <s v="TableFans"/>
        <s v="MilkFrothers"/>
        <s v="Humidifiers"/>
        <s v="StandMixerAccessories"/>
        <s v="RoboticVacuums"/>
        <s v="YogurtMakers"/>
        <s v="ColdPressJuicers"/>
        <s v="Split-SystemAirConditioners"/>
        <s v="SmallApplianceParts&amp;Accessories"/>
        <s v="WaffleMakers&amp;Irons"/>
        <s v="StovetopEspressoPots"/>
        <s v="MeasuringSpoons"/>
        <s v="CoffeePresses"/>
        <s v="RotiMakers"/>
        <s v="FanParts&amp;Accessories"/>
        <s v="StandMixers"/>
        <s v="PedestalFans"/>
        <s v="HandheldBags"/>
      </sharedItems>
    </cacheField>
    <cacheField name="category" numFmtId="0">
      <sharedItems/>
    </cacheField>
    <cacheField name="discounted_price" numFmtId="0">
      <sharedItems containsSemiMixedTypes="0" containsString="0" containsNumber="1" minValue="39" maxValue="77990"/>
    </cacheField>
    <cacheField name="actual_price" numFmtId="0">
      <sharedItems containsMixedTypes="1" containsNumber="1" minValue="39" maxValue="85000"/>
    </cacheField>
    <cacheField name="discount_percentage" numFmtId="1">
      <sharedItems containsSemiMixedTypes="0" containsString="0" containsNumber="1" containsInteger="1" minValue="0" maxValue="94" count="84">
        <n v="64"/>
        <n v="43"/>
        <n v="9"/>
        <n v="53"/>
        <n v="61"/>
        <n v="85"/>
        <n v="65"/>
        <n v="23"/>
        <n v="5"/>
        <n v="33"/>
        <n v="55"/>
        <n v="63"/>
        <n v="69"/>
        <n v="6"/>
        <n v="13"/>
        <n v="44"/>
        <n v="38"/>
        <n v="39"/>
        <n v="46"/>
        <n v="41"/>
        <n v="7"/>
        <n v="42"/>
        <n v="72"/>
        <n v="25"/>
        <n v="51"/>
        <n v="73"/>
        <n v="0"/>
        <n v="8"/>
        <n v="28"/>
        <n v="67"/>
        <n v="58"/>
        <n v="35"/>
        <n v="45"/>
        <n v="62"/>
        <n v="54"/>
        <n v="27"/>
        <n v="77"/>
        <n v="56"/>
        <n v="78"/>
        <n v="31"/>
        <n v="86"/>
        <n v="47"/>
        <n v="37"/>
        <n v="75"/>
        <n v="32"/>
        <n v="68"/>
        <n v="66"/>
        <n v="22"/>
        <n v="57"/>
        <n v="17"/>
        <n v="52"/>
        <n v="88"/>
        <n v="2"/>
        <n v="59"/>
        <n v="4"/>
        <n v="26"/>
        <n v="29"/>
        <n v="83"/>
        <n v="71"/>
        <n v="15"/>
        <n v="76"/>
        <n v="48"/>
        <n v="82"/>
        <n v="36"/>
        <n v="89"/>
        <n v="87"/>
        <n v="24"/>
        <n v="34"/>
        <n v="11"/>
        <n v="91"/>
        <n v="19"/>
        <n v="79"/>
        <n v="21"/>
        <n v="81"/>
        <n v="18"/>
        <n v="49"/>
        <n v="3"/>
        <n v="84"/>
        <n v="1"/>
        <n v="14"/>
        <n v="74"/>
        <n v="16"/>
        <n v="94"/>
        <n v="12"/>
      </sharedItems>
    </cacheField>
    <cacheField name="rating" numFmtId="0">
      <sharedItems containsMixedTypes="1" containsNumber="1" minValue="2" maxValue="5" count="26">
        <n v="4.2"/>
        <n v="4"/>
        <n v="3.9"/>
        <n v="4.0999999999999996"/>
        <n v="4.3"/>
        <n v="4.4000000000000004"/>
        <n v="4.5"/>
        <n v="3.7"/>
        <n v="3.3"/>
        <n v="3.6"/>
        <n v="3.4"/>
        <n v="3.8"/>
        <n v="3.5"/>
        <n v="4.5999999999999996"/>
        <n v="3.2"/>
        <n v="5"/>
        <n v="4.7"/>
        <n v="3"/>
        <n v="2.8"/>
        <n v="3.1"/>
        <n v="4.8"/>
        <n v="2.2999999999999998"/>
        <s v="|"/>
        <n v="2"/>
        <n v="2.6"/>
        <n v="2.9"/>
      </sharedItems>
    </cacheField>
    <cacheField name="rating_count" numFmtId="0">
      <sharedItems containsBlank="1" containsMixedTypes="1" containsNumber="1" containsInteger="1" minValue="2" maxValue="98250" count="1144">
        <n v="24269"/>
        <n v="43994"/>
        <n v="7928"/>
        <n v="94363"/>
        <n v="16905"/>
        <n v="24871"/>
        <n v="15188"/>
        <n v="30411"/>
        <s v="1,79,691"/>
        <n v="13391"/>
        <s v="4,26,973"/>
        <n v="2262"/>
        <n v="4768"/>
        <n v="18757"/>
        <n v="32840"/>
        <n v="13045"/>
        <n v="11976"/>
        <n v="815"/>
        <n v="10962"/>
        <n v="16299"/>
        <n v="9378"/>
        <n v="4703"/>
        <n v="12153"/>
        <n v="34899"/>
        <n v="2766"/>
        <n v="184"/>
        <n v="20850"/>
        <n v="74976"/>
        <n v="1934"/>
        <n v="974"/>
        <n v="355"/>
        <n v="1075"/>
        <n v="13552"/>
        <n v="576"/>
        <n v="7298"/>
        <n v="462"/>
        <s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s v="1,79,692"/>
        <n v="6088"/>
        <n v="1383"/>
        <n v="5492"/>
        <n v="919"/>
        <n v="30023"/>
        <n v="387"/>
        <n v="211"/>
        <n v="4642"/>
        <n v="12"/>
        <n v="10480"/>
        <n v="24"/>
        <n v="254"/>
        <n v="3565"/>
        <n v="6255"/>
        <n v="57"/>
        <n v="577"/>
        <n v="1193"/>
        <n v="343"/>
        <n v="1611"/>
        <n v="6558"/>
        <n v="23169"/>
        <n v="2651"/>
        <n v="5"/>
        <n v="612"/>
        <n v="313"/>
        <n v="2957"/>
        <n v="6736"/>
        <n v="5451"/>
        <n v="10911"/>
        <n v="350"/>
        <s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s v="1,78,912"/>
        <n v="7807"/>
        <n v="17415"/>
        <n v="67259"/>
        <n v="10689"/>
        <s v="1,28,311"/>
        <n v="21796"/>
        <s v="1,92,590"/>
        <n v="58162"/>
        <n v="12796"/>
        <n v="14282"/>
        <s v="3,63,713"/>
        <n v="15970"/>
        <n v="46399"/>
        <n v="8891"/>
        <n v="30254"/>
        <n v="22636"/>
        <n v="22318"/>
        <n v="18998"/>
        <n v="29471"/>
        <n v="21350"/>
        <n v="24270"/>
        <s v="3,13,836"/>
        <n v="14185"/>
        <n v="17159"/>
        <n v="5179"/>
        <n v="43993"/>
        <n v="19252"/>
        <n v="1680"/>
        <n v="13246"/>
        <n v="14648"/>
        <n v="32916"/>
        <n v="25824"/>
        <n v="7462"/>
        <n v="37817"/>
        <n v="94364"/>
        <n v="20311"/>
        <n v="69622"/>
        <n v="3382"/>
        <s v="1,40,036"/>
        <n v="8599"/>
        <n v="24870"/>
        <n v="42641"/>
        <n v="4390"/>
        <n v="1396"/>
        <n v="18202"/>
        <n v="11029"/>
        <n v="1786"/>
        <n v="7222"/>
        <n v="83996"/>
        <n v="18678"/>
        <n v="15189"/>
        <n v="48449"/>
        <n v="1315"/>
        <n v="5999"/>
        <n v="50772"/>
        <n v="14404"/>
        <n v="11339"/>
        <n v="3626"/>
        <n v="32625"/>
        <s v="1,61,679"/>
        <n v="16685"/>
        <n v="30907"/>
        <n v="26603"/>
        <n v="67950"/>
        <n v="9499"/>
        <n v="1777"/>
        <n v="58506"/>
        <n v="2263"/>
        <n v="17833"/>
        <n v="7779"/>
        <n v="17129"/>
        <n v="4969"/>
        <n v="154"/>
        <n v="4415"/>
        <n v="31539"/>
        <n v="6129"/>
        <n v="3234"/>
        <s v="3,13,832"/>
        <n v="20879"/>
        <n v="2646"/>
        <n v="28978"/>
        <n v="3145"/>
        <n v="9377"/>
        <s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s v="3,63,711"/>
        <s v="1,36,954"/>
        <n v="27709"/>
        <s v="2,53,105"/>
        <n v="61314"/>
        <n v="7354"/>
        <s v="1,80,998"/>
        <n v="690"/>
        <n v="67262"/>
        <s v="1,41,841"/>
        <n v="24791"/>
        <n v="21764"/>
        <s v="1,92,587"/>
        <s v="1,07,151"/>
        <n v="21797"/>
        <n v="92995"/>
        <n v="8751"/>
        <n v="14283"/>
        <n v="64273"/>
        <n v="54315"/>
        <n v="1597"/>
        <n v="77027"/>
        <n v="28829"/>
        <n v="29478"/>
        <n v="33176"/>
        <n v="68664"/>
        <n v="28030"/>
        <n v="5792"/>
        <n v="14778"/>
        <n v="91770"/>
        <n v="17162"/>
        <n v="206"/>
        <n v="33717"/>
        <n v="50810"/>
        <n v="3369"/>
        <n v="11827"/>
        <n v="15295"/>
        <n v="27139"/>
        <n v="9504"/>
        <n v="30058"/>
        <n v="69619"/>
        <s v="1,09,864"/>
        <n v="5760"/>
        <n v="49551"/>
        <s v="1,61,677"/>
        <n v="21372"/>
        <s v="1,40,035"/>
        <n v="7199"/>
        <n v="15233"/>
        <n v="55747"/>
        <n v="14961"/>
        <n v="9275"/>
        <n v="28324"/>
        <n v="644"/>
        <n v="18139"/>
        <n v="7203"/>
        <n v="13568"/>
        <n v="3390"/>
        <s v="1,03,052"/>
        <n v="12179"/>
        <n v="12958"/>
        <n v="8258"/>
        <n v="11716"/>
        <n v="35024"/>
        <n v="55192"/>
        <s v="1,19,466"/>
        <n v="9638"/>
        <n v="33735"/>
        <n v="3044"/>
        <n v="33584"/>
        <n v="1779"/>
        <n v="26556"/>
        <n v="25903"/>
        <n v="53464"/>
        <n v="48448"/>
        <n v="5176"/>
        <n v="8614"/>
        <n v="60026"/>
        <n v="3066"/>
        <n v="2102"/>
        <n v="34852"/>
        <s v="4,26,972"/>
        <n v="8618"/>
        <n v="4018"/>
        <n v="11687"/>
        <n v="11015"/>
        <n v="95116"/>
        <n v="23022"/>
        <n v="67951"/>
        <n v="4426"/>
        <n v="4567"/>
        <n v="13797"/>
        <n v="15137"/>
        <s v="1,56,638"/>
        <n v="9344"/>
        <n v="4875"/>
        <n v="20881"/>
        <n v="4744"/>
        <n v="12452"/>
        <n v="17810"/>
        <n v="53648"/>
        <n v="2014"/>
        <n v="5958"/>
        <n v="38221"/>
        <n v="64705"/>
        <n v="17348"/>
        <n v="87798"/>
        <n v="24432"/>
        <s v="1,89,104"/>
        <n v="93112"/>
        <n v="47521"/>
        <n v="27201"/>
        <n v="31534"/>
        <n v="6537"/>
        <n v="21010"/>
        <n v="3517"/>
        <n v="63899"/>
        <n v="5730"/>
        <n v="25488"/>
        <n v="54405"/>
        <s v="1,22,478"/>
        <n v="7241"/>
        <n v="20457"/>
        <n v="8610"/>
        <n v="1087"/>
        <n v="1540"/>
        <n v="401"/>
        <n v="9385"/>
        <n v="3454"/>
        <n v="15790"/>
        <n v="14969"/>
        <n v="42139"/>
        <n v="989"/>
        <n v="19624"/>
        <n v="3201"/>
        <n v="30469"/>
        <n v="9940"/>
        <n v="7758"/>
        <n v="68409"/>
        <n v="3095"/>
        <n v="903"/>
        <n v="25771"/>
        <s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s v="1,07,686"/>
        <n v="10652"/>
        <n v="5036"/>
        <n v="5057"/>
        <n v="8537"/>
        <n v="2450"/>
        <n v="676"/>
        <n v="9998"/>
        <n v="5852"/>
        <n v="362"/>
        <s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s v="1,23,365"/>
        <n v="13300"/>
        <n v="18543"/>
        <n v="3578"/>
        <n v="2031"/>
        <n v="44994"/>
        <s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s>
  <extLst>
    <ext xmlns:x14="http://schemas.microsoft.com/office/spreadsheetml/2009/9/main" uri="{725AE2AE-9491-48be-B2B4-4EB974FC3084}">
      <x14:pivotCacheDefinition pivotCacheId="1804575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4">
  <r>
    <x v="0"/>
    <x v="0"/>
    <x v="0"/>
    <x v="0"/>
    <s v="Computers&amp;Accessories|Accessories&amp;Peripherals|Cables&amp;Accessories|Cables|USBCables"/>
    <n v="399"/>
    <n v="1099"/>
    <x v="0"/>
    <x v="0"/>
    <x v="0"/>
  </r>
  <r>
    <x v="1"/>
    <x v="1"/>
    <x v="1"/>
    <x v="0"/>
    <s v="Computers&amp;Accessories|Accessories&amp;Peripherals|Cables&amp;Accessories|Cables|USBCables"/>
    <n v="199"/>
    <n v="349"/>
    <x v="1"/>
    <x v="1"/>
    <x v="1"/>
  </r>
  <r>
    <x v="2"/>
    <x v="2"/>
    <x v="2"/>
    <x v="0"/>
    <s v="Computers&amp;Accessories|Accessories&amp;Peripherals|Cables&amp;Accessories|Cables|USBCables"/>
    <n v="199"/>
    <n v="1899"/>
    <x v="2"/>
    <x v="2"/>
    <x v="2"/>
  </r>
  <r>
    <x v="3"/>
    <x v="3"/>
    <x v="3"/>
    <x v="0"/>
    <s v="Computers&amp;Accessories|Accessories&amp;Peripherals|Cables&amp;Accessories|Cables|USBCables"/>
    <n v="329"/>
    <n v="699"/>
    <x v="3"/>
    <x v="0"/>
    <x v="3"/>
  </r>
  <r>
    <x v="4"/>
    <x v="4"/>
    <x v="4"/>
    <x v="0"/>
    <s v="Computers&amp;Accessories|Accessories&amp;Peripherals|Cables&amp;Accessories|Cables|USBCables"/>
    <n v="154"/>
    <n v="399"/>
    <x v="4"/>
    <x v="0"/>
    <x v="4"/>
  </r>
  <r>
    <x v="5"/>
    <x v="5"/>
    <x v="5"/>
    <x v="0"/>
    <s v="Computers&amp;Accessories|Accessories&amp;Peripherals|Cables&amp;Accessories|Cables|USBCables"/>
    <n v="149"/>
    <n v="1000"/>
    <x v="5"/>
    <x v="2"/>
    <x v="5"/>
  </r>
  <r>
    <x v="6"/>
    <x v="6"/>
    <x v="3"/>
    <x v="0"/>
    <s v="Computers&amp;Accessories|Accessories&amp;Peripherals|Cables&amp;Accessories|Cables|USBCables"/>
    <n v="176.63"/>
    <n v="499"/>
    <x v="6"/>
    <x v="3"/>
    <x v="6"/>
  </r>
  <r>
    <x v="7"/>
    <x v="7"/>
    <x v="6"/>
    <x v="0"/>
    <s v="Computers&amp;Accessories|Accessories&amp;Peripherals|Cables&amp;Accessories|Cables|USBCables"/>
    <n v="229"/>
    <n v="299"/>
    <x v="7"/>
    <x v="4"/>
    <x v="7"/>
  </r>
  <r>
    <x v="8"/>
    <x v="8"/>
    <x v="7"/>
    <x v="1"/>
    <s v="Computers&amp;Accessories|NetworkingDevices|NetworkAdapters|WirelessUSBAdapters"/>
    <n v="499"/>
    <n v="999"/>
    <x v="8"/>
    <x v="0"/>
    <x v="8"/>
  </r>
  <r>
    <x v="9"/>
    <x v="9"/>
    <x v="1"/>
    <x v="0"/>
    <s v="Computers&amp;Accessories|Accessories&amp;Peripherals|Cables&amp;Accessories|Cables|USBCables"/>
    <n v="199"/>
    <n v="299"/>
    <x v="9"/>
    <x v="1"/>
    <x v="1"/>
  </r>
  <r>
    <x v="10"/>
    <x v="10"/>
    <x v="4"/>
    <x v="0"/>
    <s v="Computers&amp;Accessories|Accessories&amp;Peripherals|Cables&amp;Accessories|Cables|USBCables"/>
    <n v="154"/>
    <n v="339"/>
    <x v="10"/>
    <x v="4"/>
    <x v="9"/>
  </r>
  <r>
    <x v="11"/>
    <x v="11"/>
    <x v="3"/>
    <x v="0"/>
    <s v="Computers&amp;Accessories|Accessories&amp;Peripherals|Cables&amp;Accessories|Cables|USBCables"/>
    <n v="299"/>
    <n v="799"/>
    <x v="11"/>
    <x v="0"/>
    <x v="3"/>
  </r>
  <r>
    <x v="12"/>
    <x v="12"/>
    <x v="8"/>
    <x v="2"/>
    <s v="Electronics|HomeTheater,TV&amp;Video|Accessories|Cables|HDMICables"/>
    <n v="219"/>
    <n v="700"/>
    <x v="12"/>
    <x v="5"/>
    <x v="10"/>
  </r>
  <r>
    <x v="13"/>
    <x v="13"/>
    <x v="4"/>
    <x v="0"/>
    <s v="Computers&amp;Accessories|Accessories&amp;Peripherals|Cables&amp;Accessories|Cables|USBCables"/>
    <n v="350"/>
    <n v="899"/>
    <x v="4"/>
    <x v="0"/>
    <x v="11"/>
  </r>
  <r>
    <x v="14"/>
    <x v="14"/>
    <x v="4"/>
    <x v="0"/>
    <s v="Computers&amp;Accessories|Accessories&amp;Peripherals|Cables&amp;Accessories|Cables|USBCables"/>
    <n v="159"/>
    <n v="399"/>
    <x v="13"/>
    <x v="3"/>
    <x v="12"/>
  </r>
  <r>
    <x v="15"/>
    <x v="15"/>
    <x v="6"/>
    <x v="0"/>
    <s v="Computers&amp;Accessories|Accessories&amp;Peripherals|Cables&amp;Accessories|Cables|USBCables"/>
    <n v="349"/>
    <n v="399"/>
    <x v="14"/>
    <x v="5"/>
    <x v="13"/>
  </r>
  <r>
    <x v="16"/>
    <x v="16"/>
    <x v="6"/>
    <x v="3"/>
    <s v="Electronics|HomeTheater,TV&amp;Video|Televisions|SmartTelevisions"/>
    <n v="13999"/>
    <n v="24999"/>
    <x v="15"/>
    <x v="0"/>
    <x v="14"/>
  </r>
  <r>
    <x v="17"/>
    <x v="17"/>
    <x v="1"/>
    <x v="0"/>
    <s v="Computers&amp;Accessories|Accessories&amp;Peripherals|Cables&amp;Accessories|Cables|USBCables"/>
    <n v="249"/>
    <n v="399"/>
    <x v="16"/>
    <x v="1"/>
    <x v="1"/>
  </r>
  <r>
    <x v="18"/>
    <x v="18"/>
    <x v="3"/>
    <x v="0"/>
    <s v="Computers&amp;Accessories|Accessories&amp;Peripherals|Cables&amp;Accessories|Cables|USBCables"/>
    <n v="199"/>
    <n v="499"/>
    <x v="13"/>
    <x v="3"/>
    <x v="15"/>
  </r>
  <r>
    <x v="19"/>
    <x v="19"/>
    <x v="9"/>
    <x v="3"/>
    <s v="Electronics|HomeTheater,TV&amp;Video|Televisions|SmartTelevisions"/>
    <n v="13490"/>
    <n v="21990"/>
    <x v="17"/>
    <x v="4"/>
    <x v="16"/>
  </r>
  <r>
    <x v="20"/>
    <x v="20"/>
    <x v="10"/>
    <x v="0"/>
    <s v="Computers&amp;Accessories|Accessories&amp;Peripherals|Cables&amp;Accessories|Cables|USBCables"/>
    <n v="970"/>
    <n v="1799"/>
    <x v="18"/>
    <x v="6"/>
    <x v="17"/>
  </r>
  <r>
    <x v="21"/>
    <x v="21"/>
    <x v="11"/>
    <x v="2"/>
    <s v="Electronics|HomeTheater,TV&amp;Video|Accessories|Cables|HDMICables"/>
    <n v="279"/>
    <n v="499"/>
    <x v="15"/>
    <x v="7"/>
    <x v="18"/>
  </r>
  <r>
    <x v="22"/>
    <x v="22"/>
    <x v="12"/>
    <x v="3"/>
    <s v="Electronics|HomeTheater,TV&amp;Video|Televisions|SmartTelevisions"/>
    <n v="13490"/>
    <n v="22900"/>
    <x v="19"/>
    <x v="4"/>
    <x v="19"/>
  </r>
  <r>
    <x v="23"/>
    <x v="23"/>
    <x v="13"/>
    <x v="0"/>
    <s v="Computers&amp;Accessories|Accessories&amp;Peripherals|Cables&amp;Accessories|Cables|USBCables"/>
    <n v="59"/>
    <n v="199"/>
    <x v="20"/>
    <x v="1"/>
    <x v="20"/>
  </r>
  <r>
    <x v="24"/>
    <x v="24"/>
    <x v="14"/>
    <x v="3"/>
    <s v="Electronics|HomeTheater,TV&amp;Video|Televisions|SmartTelevisions"/>
    <n v="11499"/>
    <n v="19990"/>
    <x v="21"/>
    <x v="4"/>
    <x v="21"/>
  </r>
  <r>
    <x v="25"/>
    <x v="25"/>
    <x v="11"/>
    <x v="2"/>
    <s v="Electronics|HomeTheater,TV&amp;Video|Accessories|Cables|HDMICables"/>
    <n v="199"/>
    <n v="699"/>
    <x v="22"/>
    <x v="0"/>
    <x v="22"/>
  </r>
  <r>
    <x v="26"/>
    <x v="26"/>
    <x v="15"/>
    <x v="3"/>
    <s v="Electronics|HomeTheater,TV&amp;Video|Televisions|SmartTelevisions"/>
    <n v="14999"/>
    <n v="19999"/>
    <x v="23"/>
    <x v="0"/>
    <x v="23"/>
  </r>
  <r>
    <x v="27"/>
    <x v="27"/>
    <x v="1"/>
    <x v="0"/>
    <s v="Computers&amp;Accessories|Accessories&amp;Peripherals|Cables&amp;Accessories|Cables|USBCables"/>
    <n v="299"/>
    <n v="399"/>
    <x v="23"/>
    <x v="1"/>
    <x v="24"/>
  </r>
  <r>
    <x v="28"/>
    <x v="28"/>
    <x v="10"/>
    <x v="0"/>
    <s v="Computers&amp;Accessories|Accessories&amp;Peripherals|Cables&amp;Accessories|Cables|USBCables"/>
    <n v="970"/>
    <n v="1999"/>
    <x v="24"/>
    <x v="5"/>
    <x v="25"/>
  </r>
  <r>
    <x v="29"/>
    <x v="29"/>
    <x v="3"/>
    <x v="0"/>
    <s v="Computers&amp;Accessories|Accessories&amp;Peripherals|Cables&amp;Accessories|Cables|USBCables"/>
    <n v="299"/>
    <n v="999"/>
    <x v="20"/>
    <x v="4"/>
    <x v="26"/>
  </r>
  <r>
    <x v="30"/>
    <x v="30"/>
    <x v="8"/>
    <x v="0"/>
    <s v="Computers&amp;Accessories|Accessories&amp;Peripherals|Cables&amp;Accessories|Cables|USBCables"/>
    <n v="199"/>
    <n v="750"/>
    <x v="25"/>
    <x v="6"/>
    <x v="27"/>
  </r>
  <r>
    <x v="31"/>
    <x v="31"/>
    <x v="1"/>
    <x v="0"/>
    <s v="Computers&amp;Accessories|Accessories&amp;Peripherals|Cables&amp;Accessories|Cables|USBCables"/>
    <n v="179"/>
    <n v="499"/>
    <x v="0"/>
    <x v="1"/>
    <x v="28"/>
  </r>
  <r>
    <x v="32"/>
    <x v="32"/>
    <x v="16"/>
    <x v="0"/>
    <s v="Computers&amp;Accessories|Accessories&amp;Peripherals|Cables&amp;Accessories|Cables|USBCables"/>
    <n v="389"/>
    <n v="1099"/>
    <x v="6"/>
    <x v="4"/>
    <x v="29"/>
  </r>
  <r>
    <x v="33"/>
    <x v="33"/>
    <x v="12"/>
    <x v="0"/>
    <s v="Computers&amp;Accessories|Accessories&amp;Peripherals|Cables&amp;Accessories|Cables|USBCables"/>
    <n v="599"/>
    <n v="599"/>
    <x v="26"/>
    <x v="4"/>
    <x v="30"/>
  </r>
  <r>
    <x v="34"/>
    <x v="34"/>
    <x v="5"/>
    <x v="0"/>
    <s v="Computers&amp;Accessories|Accessories&amp;Peripherals|Cables&amp;Accessories|Cables|USBCables"/>
    <n v="199"/>
    <n v="999"/>
    <x v="27"/>
    <x v="2"/>
    <x v="31"/>
  </r>
  <r>
    <x v="35"/>
    <x v="35"/>
    <x v="5"/>
    <x v="0"/>
    <s v="Computers&amp;Accessories|Accessories&amp;Peripherals|Cables&amp;Accessories|Cables|USBCables"/>
    <n v="99"/>
    <n v="666.66"/>
    <x v="5"/>
    <x v="2"/>
    <x v="5"/>
  </r>
  <r>
    <x v="36"/>
    <x v="36"/>
    <x v="8"/>
    <x v="0"/>
    <s v="Computers&amp;Accessories|Accessories&amp;Peripherals|Cables&amp;Accessories|Cables|USBCables"/>
    <n v="899"/>
    <n v="1900"/>
    <x v="3"/>
    <x v="5"/>
    <x v="32"/>
  </r>
  <r>
    <x v="37"/>
    <x v="37"/>
    <x v="2"/>
    <x v="0"/>
    <s v="Computers&amp;Accessories|Accessories&amp;Peripherals|Cables&amp;Accessories|Cables|USBCables"/>
    <n v="199"/>
    <n v="999"/>
    <x v="27"/>
    <x v="1"/>
    <x v="33"/>
  </r>
  <r>
    <x v="38"/>
    <x v="38"/>
    <x v="15"/>
    <x v="3"/>
    <s v="Electronics|HomeTheater,TV&amp;Video|Televisions|SmartTelevisions"/>
    <n v="32999"/>
    <n v="45999"/>
    <x v="28"/>
    <x v="0"/>
    <x v="34"/>
  </r>
  <r>
    <x v="39"/>
    <x v="39"/>
    <x v="10"/>
    <x v="0"/>
    <s v="Computers&amp;Accessories|Accessories&amp;Peripherals|Cables&amp;Accessories|Cables|USBCables"/>
    <n v="970"/>
    <n v="1999"/>
    <x v="24"/>
    <x v="0"/>
    <x v="35"/>
  </r>
  <r>
    <x v="40"/>
    <x v="40"/>
    <x v="8"/>
    <x v="0"/>
    <s v="Computers&amp;Accessories|Accessories&amp;Peripherals|Cables&amp;Accessories|Cables|USBCables"/>
    <n v="209"/>
    <n v="695"/>
    <x v="20"/>
    <x v="6"/>
    <x v="36"/>
  </r>
  <r>
    <x v="41"/>
    <x v="41"/>
    <x v="6"/>
    <x v="3"/>
    <s v="Electronics|HomeTheater,TV&amp;Video|Televisions|SmartTelevisions"/>
    <n v="19999"/>
    <n v="34999"/>
    <x v="1"/>
    <x v="4"/>
    <x v="37"/>
  </r>
  <r>
    <x v="42"/>
    <x v="42"/>
    <x v="0"/>
    <x v="0"/>
    <s v="Computers&amp;Accessories|Accessories&amp;Peripherals|Cables&amp;Accessories|Cables|USBCables"/>
    <n v="399"/>
    <n v="1099"/>
    <x v="0"/>
    <x v="0"/>
    <x v="0"/>
  </r>
  <r>
    <x v="43"/>
    <x v="43"/>
    <x v="7"/>
    <x v="1"/>
    <s v="Computers&amp;Accessories|NetworkingDevices|NetworkAdapters|WirelessUSBAdapters"/>
    <n v="999"/>
    <n v="1599"/>
    <x v="16"/>
    <x v="4"/>
    <x v="38"/>
  </r>
  <r>
    <x v="44"/>
    <x v="44"/>
    <x v="13"/>
    <x v="0"/>
    <s v="Computers&amp;Accessories|Accessories&amp;Peripherals|Cables&amp;Accessories|Cables|USBCables"/>
    <n v="59"/>
    <n v="199"/>
    <x v="20"/>
    <x v="1"/>
    <x v="20"/>
  </r>
  <r>
    <x v="45"/>
    <x v="45"/>
    <x v="17"/>
    <x v="0"/>
    <s v="Computers&amp;Accessories|Accessories&amp;Peripherals|Cables&amp;Accessories|Cables|USBCables"/>
    <n v="333"/>
    <n v="999"/>
    <x v="29"/>
    <x v="8"/>
    <x v="39"/>
  </r>
  <r>
    <x v="46"/>
    <x v="46"/>
    <x v="18"/>
    <x v="1"/>
    <s v="Computers&amp;Accessories|NetworkingDevices|NetworkAdapters|WirelessUSBAdapters"/>
    <n v="507"/>
    <n v="1208"/>
    <x v="30"/>
    <x v="3"/>
    <x v="40"/>
  </r>
  <r>
    <x v="47"/>
    <x v="47"/>
    <x v="19"/>
    <x v="2"/>
    <s v="Electronics|HomeTheater,TV&amp;Video|Accessories|Cables|HDMICables"/>
    <n v="309"/>
    <n v="475"/>
    <x v="31"/>
    <x v="5"/>
    <x v="10"/>
  </r>
  <r>
    <x v="48"/>
    <x v="48"/>
    <x v="20"/>
    <x v="4"/>
    <s v="Electronics|HomeTheater,TV&amp;Video|Accessories|RemoteControls"/>
    <n v="399"/>
    <n v="999"/>
    <x v="13"/>
    <x v="9"/>
    <x v="41"/>
  </r>
  <r>
    <x v="49"/>
    <x v="49"/>
    <x v="8"/>
    <x v="0"/>
    <s v="Computers&amp;Accessories|Accessories&amp;Peripherals|Cables&amp;Accessories|Cables|USBCables"/>
    <n v="199"/>
    <n v="395"/>
    <x v="8"/>
    <x v="0"/>
    <x v="42"/>
  </r>
  <r>
    <x v="50"/>
    <x v="50"/>
    <x v="7"/>
    <x v="1"/>
    <s v="Computers&amp;Accessories|NetworkingDevices|NetworkAdapters|WirelessUSBAdapters"/>
    <n v="1199"/>
    <n v="2199"/>
    <x v="32"/>
    <x v="5"/>
    <x v="43"/>
  </r>
  <r>
    <x v="51"/>
    <x v="51"/>
    <x v="8"/>
    <x v="0"/>
    <s v="Computers&amp;Accessories|Accessories&amp;Peripherals|Cables&amp;Accessories|Cables|USBCables"/>
    <n v="179"/>
    <n v="500"/>
    <x v="0"/>
    <x v="0"/>
    <x v="42"/>
  </r>
  <r>
    <x v="52"/>
    <x v="52"/>
    <x v="8"/>
    <x v="0"/>
    <s v="Computers&amp;Accessories|Accessories&amp;Peripherals|Cables&amp;Accessories|Cables|USBCables"/>
    <n v="799"/>
    <n v="2100"/>
    <x v="33"/>
    <x v="4"/>
    <x v="44"/>
  </r>
  <r>
    <x v="53"/>
    <x v="53"/>
    <x v="21"/>
    <x v="5"/>
    <s v="Electronics|HomeTheater,TV&amp;Video|Televisions|StandardTelevisions"/>
    <n v="6999"/>
    <n v="12999"/>
    <x v="18"/>
    <x v="0"/>
    <x v="45"/>
  </r>
  <r>
    <x v="54"/>
    <x v="54"/>
    <x v="1"/>
    <x v="0"/>
    <s v="Computers&amp;Accessories|Accessories&amp;Peripherals|Cables&amp;Accessories|Cables|USBCables"/>
    <n v="199"/>
    <n v="349"/>
    <x v="1"/>
    <x v="3"/>
    <x v="46"/>
  </r>
  <r>
    <x v="55"/>
    <x v="55"/>
    <x v="22"/>
    <x v="4"/>
    <s v="Electronics|HomeTheater,TV&amp;Video|Accessories|RemoteControls"/>
    <n v="230"/>
    <n v="499"/>
    <x v="34"/>
    <x v="7"/>
    <x v="47"/>
  </r>
  <r>
    <x v="56"/>
    <x v="56"/>
    <x v="7"/>
    <x v="1"/>
    <s v="Computers&amp;Accessories|NetworkingDevices|NetworkAdapters|WirelessUSBAdapters"/>
    <n v="649"/>
    <n v="1399"/>
    <x v="34"/>
    <x v="0"/>
    <x v="8"/>
  </r>
  <r>
    <x v="57"/>
    <x v="57"/>
    <x v="15"/>
    <x v="3"/>
    <s v="Electronics|HomeTheater,TV&amp;Video|Televisions|SmartTelevisions"/>
    <n v="15999"/>
    <n v="21999"/>
    <x v="35"/>
    <x v="0"/>
    <x v="23"/>
  </r>
  <r>
    <x v="58"/>
    <x v="58"/>
    <x v="17"/>
    <x v="0"/>
    <s v="Computers&amp;Accessories|Accessories&amp;Peripherals|Cables&amp;Accessories|Cables|USBCables"/>
    <n v="348"/>
    <n v="1499"/>
    <x v="36"/>
    <x v="0"/>
    <x v="48"/>
  </r>
  <r>
    <x v="59"/>
    <x v="59"/>
    <x v="4"/>
    <x v="0"/>
    <s v="Computers&amp;Accessories|Accessories&amp;Peripherals|Cables&amp;Accessories|Cables|USBCables"/>
    <n v="154"/>
    <n v="349"/>
    <x v="37"/>
    <x v="4"/>
    <x v="49"/>
  </r>
  <r>
    <x v="60"/>
    <x v="60"/>
    <x v="23"/>
    <x v="4"/>
    <s v="Electronics|HomeTheater,TV&amp;Video|Accessories|RemoteControls"/>
    <n v="179"/>
    <n v="799"/>
    <x v="38"/>
    <x v="7"/>
    <x v="50"/>
  </r>
  <r>
    <x v="61"/>
    <x v="61"/>
    <x v="12"/>
    <x v="3"/>
    <s v="Electronics|HomeTheater,TV&amp;Video|Televisions|SmartTelevisions"/>
    <n v="32990"/>
    <n v="47900"/>
    <x v="39"/>
    <x v="4"/>
    <x v="51"/>
  </r>
  <r>
    <x v="62"/>
    <x v="62"/>
    <x v="24"/>
    <x v="0"/>
    <s v="Computers&amp;Accessories|Accessories&amp;Peripherals|Cables&amp;Accessories|Cables|USBCables"/>
    <n v="139"/>
    <n v="999"/>
    <x v="40"/>
    <x v="1"/>
    <x v="52"/>
  </r>
  <r>
    <x v="63"/>
    <x v="63"/>
    <x v="8"/>
    <x v="0"/>
    <s v="Computers&amp;Accessories|Accessories&amp;Peripherals|Cables&amp;Accessories|Cables|USBCables"/>
    <n v="329"/>
    <n v="845"/>
    <x v="4"/>
    <x v="0"/>
    <x v="53"/>
  </r>
  <r>
    <x v="64"/>
    <x v="64"/>
    <x v="25"/>
    <x v="3"/>
    <s v="Electronics|HomeTheater,TV&amp;Video|Televisions|SmartTelevisions"/>
    <n v="13999"/>
    <n v="24999"/>
    <x v="15"/>
    <x v="0"/>
    <x v="54"/>
  </r>
  <r>
    <x v="65"/>
    <x v="65"/>
    <x v="19"/>
    <x v="2"/>
    <s v="Electronics|HomeTheater,TV&amp;Video|Accessories|Cables|HDMICables"/>
    <n v="309"/>
    <n v="1400"/>
    <x v="38"/>
    <x v="5"/>
    <x v="10"/>
  </r>
  <r>
    <x v="66"/>
    <x v="66"/>
    <x v="4"/>
    <x v="0"/>
    <s v="Computers&amp;Accessories|Accessories&amp;Peripherals|Cables&amp;Accessories|Cables|USBCables"/>
    <n v="263"/>
    <n v="699"/>
    <x v="33"/>
    <x v="3"/>
    <x v="55"/>
  </r>
  <r>
    <x v="67"/>
    <x v="67"/>
    <x v="14"/>
    <x v="5"/>
    <s v="Electronics|HomeTheater,TV&amp;Video|Televisions|StandardTelevisions"/>
    <n v="7999"/>
    <n v="14990"/>
    <x v="41"/>
    <x v="4"/>
    <x v="56"/>
  </r>
  <r>
    <x v="68"/>
    <x v="68"/>
    <x v="26"/>
    <x v="6"/>
    <s v="Electronics|HomeTheater,TV&amp;Video|Accessories|TVMounts,Stands&amp;Turntables|TVWall&amp;CeilingMounts"/>
    <n v="1599"/>
    <n v="2999"/>
    <x v="41"/>
    <x v="0"/>
    <x v="57"/>
  </r>
  <r>
    <x v="69"/>
    <x v="69"/>
    <x v="19"/>
    <x v="0"/>
    <s v="Computers&amp;Accessories|Accessories&amp;Peripherals|Cables&amp;Accessories|Cables|USBCables"/>
    <n v="219"/>
    <n v="700"/>
    <x v="12"/>
    <x v="4"/>
    <x v="58"/>
  </r>
  <r>
    <x v="70"/>
    <x v="70"/>
    <x v="27"/>
    <x v="0"/>
    <s v="Computers&amp;Accessories|Accessories&amp;Peripherals|Cables&amp;Accessories|Cables|USBCables"/>
    <n v="349"/>
    <n v="899"/>
    <x v="4"/>
    <x v="6"/>
    <x v="59"/>
  </r>
  <r>
    <x v="71"/>
    <x v="71"/>
    <x v="28"/>
    <x v="0"/>
    <s v="Computers&amp;Accessories|Accessories&amp;Peripherals|Cables&amp;Accessories|Cables|USBCables"/>
    <n v="349"/>
    <n v="599"/>
    <x v="21"/>
    <x v="3"/>
    <x v="60"/>
  </r>
  <r>
    <x v="72"/>
    <x v="72"/>
    <x v="25"/>
    <x v="3"/>
    <s v="Electronics|HomeTheater,TV&amp;Video|Televisions|SmartTelevisions"/>
    <n v="26999"/>
    <n v="42999"/>
    <x v="42"/>
    <x v="0"/>
    <x v="54"/>
  </r>
  <r>
    <x v="73"/>
    <x v="73"/>
    <x v="29"/>
    <x v="0"/>
    <s v="Computers&amp;Accessories|Accessories&amp;Peripherals|Cables&amp;Accessories|Cables|USBCables"/>
    <n v="115"/>
    <n v="499"/>
    <x v="36"/>
    <x v="1"/>
    <x v="61"/>
  </r>
  <r>
    <x v="74"/>
    <x v="74"/>
    <x v="3"/>
    <x v="0"/>
    <s v="Computers&amp;Accessories|Accessories&amp;Peripherals|Cables&amp;Accessories|Cables|USBCables"/>
    <n v="399"/>
    <n v="999"/>
    <x v="13"/>
    <x v="3"/>
    <x v="62"/>
  </r>
  <r>
    <x v="75"/>
    <x v="75"/>
    <x v="1"/>
    <x v="0"/>
    <s v="Computers&amp;Accessories|Accessories&amp;Peripherals|Cables&amp;Accessories|Cables|USBCables"/>
    <n v="199"/>
    <n v="499"/>
    <x v="13"/>
    <x v="3"/>
    <x v="63"/>
  </r>
  <r>
    <x v="76"/>
    <x v="76"/>
    <x v="1"/>
    <x v="0"/>
    <s v="Computers&amp;Accessories|Accessories&amp;Peripherals|Cables&amp;Accessories|Cables|USBCables"/>
    <n v="179"/>
    <n v="399"/>
    <x v="10"/>
    <x v="1"/>
    <x v="64"/>
  </r>
  <r>
    <x v="77"/>
    <x v="77"/>
    <x v="30"/>
    <x v="3"/>
    <s v="Electronics|HomeTheater,TV&amp;Video|Televisions|SmartTelevisions"/>
    <n v="10901"/>
    <n v="30990"/>
    <x v="6"/>
    <x v="3"/>
    <x v="65"/>
  </r>
  <r>
    <x v="78"/>
    <x v="78"/>
    <x v="31"/>
    <x v="0"/>
    <s v="Computers&amp;Accessories|Accessories&amp;Peripherals|Cables&amp;Accessories|Cables|USBCables"/>
    <n v="209"/>
    <n v="499"/>
    <x v="30"/>
    <x v="2"/>
    <x v="66"/>
  </r>
  <r>
    <x v="79"/>
    <x v="79"/>
    <x v="32"/>
    <x v="4"/>
    <s v="Electronics|HomeTheater,TV&amp;Video|Accessories|RemoteControls"/>
    <n v="1434"/>
    <n v="3999"/>
    <x v="0"/>
    <x v="1"/>
    <x v="67"/>
  </r>
  <r>
    <x v="80"/>
    <x v="80"/>
    <x v="0"/>
    <x v="0"/>
    <s v="Computers&amp;Accessories|Accessories&amp;Peripherals|Cables&amp;Accessories|Cables|USBCables"/>
    <n v="399"/>
    <n v="1099"/>
    <x v="0"/>
    <x v="0"/>
    <x v="0"/>
  </r>
  <r>
    <x v="81"/>
    <x v="81"/>
    <x v="13"/>
    <x v="0"/>
    <s v="Computers&amp;Accessories|Accessories&amp;Peripherals|Cables&amp;Accessories|Cables|USBCables"/>
    <n v="139"/>
    <n v="249"/>
    <x v="15"/>
    <x v="1"/>
    <x v="20"/>
  </r>
  <r>
    <x v="82"/>
    <x v="82"/>
    <x v="33"/>
    <x v="3"/>
    <s v="Electronics|HomeTheater,TV&amp;Video|Televisions|SmartTelevisions"/>
    <n v="7299"/>
    <n v="19125"/>
    <x v="33"/>
    <x v="10"/>
    <x v="68"/>
  </r>
  <r>
    <x v="83"/>
    <x v="83"/>
    <x v="3"/>
    <x v="0"/>
    <s v="Computers&amp;Accessories|Accessories&amp;Peripherals|Cables&amp;Accessories|Cables|USBCables"/>
    <n v="299"/>
    <n v="799"/>
    <x v="11"/>
    <x v="5"/>
    <x v="69"/>
  </r>
  <r>
    <x v="84"/>
    <x v="84"/>
    <x v="0"/>
    <x v="0"/>
    <s v="Computers&amp;Accessories|Accessories&amp;Peripherals|Cables&amp;Accessories|Cables|USBCables"/>
    <n v="325"/>
    <n v="1299"/>
    <x v="43"/>
    <x v="0"/>
    <x v="70"/>
  </r>
  <r>
    <x v="85"/>
    <x v="85"/>
    <x v="15"/>
    <x v="3"/>
    <s v="Electronics|HomeTheater,TV&amp;Video|Televisions|SmartTelevisions"/>
    <n v="29999"/>
    <n v="39999"/>
    <x v="23"/>
    <x v="0"/>
    <x v="34"/>
  </r>
  <r>
    <x v="86"/>
    <x v="86"/>
    <x v="14"/>
    <x v="3"/>
    <s v="Electronics|HomeTheater,TV&amp;Video|Televisions|SmartTelevisions"/>
    <n v="27999"/>
    <n v="40990"/>
    <x v="44"/>
    <x v="4"/>
    <x v="21"/>
  </r>
  <r>
    <x v="87"/>
    <x v="87"/>
    <x v="12"/>
    <x v="3"/>
    <s v="Electronics|HomeTheater,TV&amp;Video|Televisions|SmartTelevisions"/>
    <n v="30990"/>
    <n v="52900"/>
    <x v="19"/>
    <x v="4"/>
    <x v="51"/>
  </r>
  <r>
    <x v="88"/>
    <x v="88"/>
    <x v="24"/>
    <x v="0"/>
    <s v="Computers&amp;Accessories|Accessories&amp;Peripherals|Cables&amp;Accessories|Cables|USBCables"/>
    <n v="199"/>
    <n v="999"/>
    <x v="27"/>
    <x v="6"/>
    <x v="71"/>
  </r>
  <r>
    <x v="89"/>
    <x v="89"/>
    <x v="0"/>
    <x v="0"/>
    <s v="Computers&amp;Accessories|Accessories&amp;Peripherals|Cables&amp;Accessories|Cables|USBCables"/>
    <n v="649"/>
    <n v="1999"/>
    <x v="45"/>
    <x v="0"/>
    <x v="0"/>
  </r>
  <r>
    <x v="90"/>
    <x v="90"/>
    <x v="34"/>
    <x v="1"/>
    <s v="Computers&amp;Accessories|NetworkingDevices|NetworkAdapters|WirelessUSBAdapters"/>
    <n v="269"/>
    <n v="800"/>
    <x v="46"/>
    <x v="9"/>
    <x v="72"/>
  </r>
  <r>
    <x v="91"/>
    <x v="91"/>
    <x v="15"/>
    <x v="3"/>
    <s v="Electronics|HomeTheater,TV&amp;Video|Televisions|SmartTelevisions"/>
    <n v="24999"/>
    <n v="31999"/>
    <x v="47"/>
    <x v="0"/>
    <x v="23"/>
  </r>
  <r>
    <x v="92"/>
    <x v="92"/>
    <x v="3"/>
    <x v="0"/>
    <s v="Computers&amp;Accessories|Accessories&amp;Peripherals|Cables&amp;Accessories|Cables|USBCables"/>
    <n v="299"/>
    <n v="699"/>
    <x v="48"/>
    <x v="0"/>
    <x v="3"/>
  </r>
  <r>
    <x v="93"/>
    <x v="93"/>
    <x v="24"/>
    <x v="0"/>
    <s v="Computers&amp;Accessories|Accessories&amp;Peripherals|Cables&amp;Accessories|Cables|USBCables"/>
    <n v="199"/>
    <n v="999"/>
    <x v="27"/>
    <x v="3"/>
    <x v="73"/>
  </r>
  <r>
    <x v="94"/>
    <x v="94"/>
    <x v="30"/>
    <x v="3"/>
    <s v="Electronics|HomeTheater,TV&amp;Video|Televisions|SmartTelevisions"/>
    <n v="18990"/>
    <n v="40990"/>
    <x v="34"/>
    <x v="0"/>
    <x v="74"/>
  </r>
  <r>
    <x v="95"/>
    <x v="95"/>
    <x v="35"/>
    <x v="1"/>
    <s v="Computers&amp;Accessories|NetworkingDevices|NetworkAdapters|WirelessUSBAdapters"/>
    <n v="290"/>
    <n v="349"/>
    <x v="49"/>
    <x v="7"/>
    <x v="75"/>
  </r>
  <r>
    <x v="96"/>
    <x v="96"/>
    <x v="36"/>
    <x v="4"/>
    <s v="Electronics|HomeTheater,TV&amp;Video|Accessories|RemoteControls"/>
    <n v="249"/>
    <n v="799"/>
    <x v="12"/>
    <x v="11"/>
    <x v="76"/>
  </r>
  <r>
    <x v="97"/>
    <x v="97"/>
    <x v="37"/>
    <x v="0"/>
    <s v="Computers&amp;Accessories|Accessories&amp;Peripherals|Cables&amp;Accessories|Cables|USBCables"/>
    <n v="345"/>
    <n v="999"/>
    <x v="6"/>
    <x v="7"/>
    <x v="77"/>
  </r>
  <r>
    <x v="98"/>
    <x v="98"/>
    <x v="7"/>
    <x v="1"/>
    <s v="Computers&amp;Accessories|NetworkingDevices|NetworkAdapters|WirelessUSBAdapters"/>
    <n v="1099"/>
    <n v="1899"/>
    <x v="21"/>
    <x v="6"/>
    <x v="78"/>
  </r>
  <r>
    <x v="99"/>
    <x v="99"/>
    <x v="0"/>
    <x v="0"/>
    <s v="Computers&amp;Accessories|Accessories&amp;Peripherals|Cables&amp;Accessories|Cables|USBCables"/>
    <n v="719"/>
    <n v="1499"/>
    <x v="50"/>
    <x v="3"/>
    <x v="79"/>
  </r>
  <r>
    <x v="100"/>
    <x v="100"/>
    <x v="38"/>
    <x v="4"/>
    <s v="Electronics|HomeTheater,TV&amp;Video|Accessories|RemoteControls"/>
    <n v="349"/>
    <n v="1499"/>
    <x v="36"/>
    <x v="4"/>
    <x v="80"/>
  </r>
  <r>
    <x v="101"/>
    <x v="101"/>
    <x v="19"/>
    <x v="0"/>
    <s v="Computers&amp;Accessories|Accessories&amp;Peripherals|Cables&amp;Accessories|Cables|USBCables"/>
    <n v="849"/>
    <n v="1809"/>
    <x v="3"/>
    <x v="4"/>
    <x v="81"/>
  </r>
  <r>
    <x v="102"/>
    <x v="102"/>
    <x v="39"/>
    <x v="4"/>
    <s v="Electronics|HomeTheater,TV&amp;Video|Accessories|RemoteControls"/>
    <n v="299"/>
    <n v="899"/>
    <x v="29"/>
    <x v="1"/>
    <x v="82"/>
  </r>
  <r>
    <x v="103"/>
    <x v="103"/>
    <x v="6"/>
    <x v="3"/>
    <s v="Electronics|HomeTheater,TV&amp;Video|Televisions|SmartTelevisions"/>
    <n v="21999"/>
    <n v="29999"/>
    <x v="35"/>
    <x v="0"/>
    <x v="14"/>
  </r>
  <r>
    <x v="104"/>
    <x v="104"/>
    <x v="0"/>
    <x v="0"/>
    <s v="Computers&amp;Accessories|Accessories&amp;Peripherals|Cables&amp;Accessories|Cables|USBCables"/>
    <n v="349"/>
    <n v="999"/>
    <x v="6"/>
    <x v="0"/>
    <x v="83"/>
  </r>
  <r>
    <x v="105"/>
    <x v="105"/>
    <x v="0"/>
    <x v="0"/>
    <s v="Computers&amp;Accessories|Accessories&amp;Peripherals|Cables&amp;Accessories|Cables|USBCables"/>
    <n v="399"/>
    <n v="999"/>
    <x v="13"/>
    <x v="4"/>
    <x v="84"/>
  </r>
  <r>
    <x v="106"/>
    <x v="106"/>
    <x v="0"/>
    <x v="0"/>
    <s v="Computers&amp;Accessories|Accessories&amp;Peripherals|Cables&amp;Accessories|Cables|USBCables"/>
    <n v="449"/>
    <n v="1299"/>
    <x v="6"/>
    <x v="0"/>
    <x v="0"/>
  </r>
  <r>
    <x v="107"/>
    <x v="107"/>
    <x v="40"/>
    <x v="0"/>
    <s v="Computers&amp;Accessories|Accessories&amp;Peripherals|Cables&amp;Accessories|Cables|USBCables"/>
    <n v="299"/>
    <n v="999"/>
    <x v="20"/>
    <x v="4"/>
    <x v="85"/>
  </r>
  <r>
    <x v="108"/>
    <x v="108"/>
    <x v="41"/>
    <x v="3"/>
    <s v="Electronics|HomeTheater,TV&amp;Video|Televisions|SmartTelevisions"/>
    <n v="37999"/>
    <n v="65000"/>
    <x v="21"/>
    <x v="4"/>
    <x v="86"/>
  </r>
  <r>
    <x v="109"/>
    <x v="109"/>
    <x v="5"/>
    <x v="0"/>
    <s v="Computers&amp;Accessories|Accessories&amp;Peripherals|Cables&amp;Accessories|Cables|USBCables"/>
    <n v="99"/>
    <n v="800"/>
    <x v="51"/>
    <x v="2"/>
    <x v="5"/>
  </r>
  <r>
    <x v="110"/>
    <x v="110"/>
    <x v="42"/>
    <x v="5"/>
    <s v="Electronics|HomeTheater,TV&amp;Video|Televisions|StandardTelevisions"/>
    <n v="7390"/>
    <n v="20000"/>
    <x v="11"/>
    <x v="3"/>
    <x v="87"/>
  </r>
  <r>
    <x v="111"/>
    <x v="111"/>
    <x v="3"/>
    <x v="0"/>
    <s v="Computers&amp;Accessories|Accessories&amp;Peripherals|Cables&amp;Accessories|Cables|USBCables"/>
    <n v="273.10000000000002"/>
    <n v="999"/>
    <x v="25"/>
    <x v="4"/>
    <x v="26"/>
  </r>
  <r>
    <x v="112"/>
    <x v="112"/>
    <x v="9"/>
    <x v="3"/>
    <s v="Electronics|HomeTheater,TV&amp;Video|Televisions|SmartTelevisions"/>
    <n v="15990"/>
    <n v="23990"/>
    <x v="9"/>
    <x v="4"/>
    <x v="88"/>
  </r>
  <r>
    <x v="113"/>
    <x v="113"/>
    <x v="3"/>
    <x v="0"/>
    <s v="Computers&amp;Accessories|Accessories&amp;Peripherals|Cables&amp;Accessories|Cables|USBCables"/>
    <n v="399"/>
    <n v="999"/>
    <x v="13"/>
    <x v="3"/>
    <x v="62"/>
  </r>
  <r>
    <x v="114"/>
    <x v="114"/>
    <x v="43"/>
    <x v="4"/>
    <s v="Electronics|HomeTheater,TV&amp;Video|Accessories|RemoteControls"/>
    <n v="399"/>
    <n v="1999"/>
    <x v="27"/>
    <x v="6"/>
    <x v="89"/>
  </r>
  <r>
    <x v="115"/>
    <x v="115"/>
    <x v="4"/>
    <x v="0"/>
    <s v="Computers&amp;Accessories|Accessories&amp;Peripherals|Cables&amp;Accessories|Cables|USBCables"/>
    <n v="210"/>
    <n v="399"/>
    <x v="41"/>
    <x v="3"/>
    <x v="90"/>
  </r>
  <r>
    <x v="116"/>
    <x v="116"/>
    <x v="44"/>
    <x v="4"/>
    <s v="Electronics|HomeTheater,TV&amp;Video|Accessories|RemoteControls"/>
    <n v="1299"/>
    <n v="1999"/>
    <x v="31"/>
    <x v="9"/>
    <x v="91"/>
  </r>
  <r>
    <x v="117"/>
    <x v="117"/>
    <x v="45"/>
    <x v="0"/>
    <s v="Computers&amp;Accessories|Accessories&amp;Peripherals|Cables&amp;Accessories|Cables|USBCables"/>
    <n v="347"/>
    <n v="999"/>
    <x v="6"/>
    <x v="12"/>
    <x v="92"/>
  </r>
  <r>
    <x v="118"/>
    <x v="118"/>
    <x v="24"/>
    <x v="0"/>
    <s v="Computers&amp;Accessories|Accessories&amp;Peripherals|Cables&amp;Accessories|Cables|USBCables"/>
    <n v="149"/>
    <n v="999"/>
    <x v="5"/>
    <x v="1"/>
    <x v="52"/>
  </r>
  <r>
    <x v="119"/>
    <x v="119"/>
    <x v="4"/>
    <x v="0"/>
    <s v="Computers&amp;Accessories|Accessories&amp;Peripherals|Cables&amp;Accessories|Cables|USBCables"/>
    <n v="228"/>
    <n v="899"/>
    <x v="43"/>
    <x v="11"/>
    <x v="93"/>
  </r>
  <r>
    <x v="120"/>
    <x v="120"/>
    <x v="46"/>
    <x v="0"/>
    <s v="Computers&amp;Accessories|Accessories&amp;Peripherals|Cables&amp;Accessories|Cables|USBCables"/>
    <n v="1599"/>
    <n v="1999"/>
    <x v="52"/>
    <x v="5"/>
    <x v="94"/>
  </r>
  <r>
    <x v="121"/>
    <x v="121"/>
    <x v="47"/>
    <x v="4"/>
    <s v="Electronics|HomeTheater,TV&amp;Video|Accessories|RemoteControls"/>
    <n v="1499"/>
    <n v="3999"/>
    <x v="11"/>
    <x v="7"/>
    <x v="95"/>
  </r>
  <r>
    <x v="122"/>
    <x v="122"/>
    <x v="21"/>
    <x v="3"/>
    <s v="Electronics|HomeTheater,TV&amp;Video|Televisions|SmartTelevisions"/>
    <n v="8499"/>
    <n v="15999"/>
    <x v="41"/>
    <x v="4"/>
    <x v="96"/>
  </r>
  <r>
    <x v="123"/>
    <x v="123"/>
    <x v="48"/>
    <x v="3"/>
    <s v="Electronics|HomeTheater,TV&amp;Video|Televisions|SmartTelevisions"/>
    <n v="20990"/>
    <n v="44990"/>
    <x v="3"/>
    <x v="3"/>
    <x v="97"/>
  </r>
  <r>
    <x v="124"/>
    <x v="124"/>
    <x v="25"/>
    <x v="3"/>
    <s v="Electronics|HomeTheater,TV&amp;Video|Televisions|SmartTelevisions"/>
    <n v="32999"/>
    <n v="44999"/>
    <x v="35"/>
    <x v="0"/>
    <x v="54"/>
  </r>
  <r>
    <x v="125"/>
    <x v="125"/>
    <x v="8"/>
    <x v="2"/>
    <s v="Electronics|HomeTheater,TV&amp;Video|Accessories|Cables|HDMICables"/>
    <n v="799"/>
    <n v="1700"/>
    <x v="3"/>
    <x v="3"/>
    <x v="98"/>
  </r>
  <r>
    <x v="126"/>
    <x v="126"/>
    <x v="8"/>
    <x v="2"/>
    <s v="Electronics|HomeTheater,TV&amp;Video|Accessories|Cables|HDMICables"/>
    <n v="229"/>
    <n v="595"/>
    <x v="33"/>
    <x v="4"/>
    <x v="99"/>
  </r>
  <r>
    <x v="127"/>
    <x v="127"/>
    <x v="49"/>
    <x v="3"/>
    <s v="Electronics|HomeTheater,TV&amp;Video|Televisions|SmartTelevisions"/>
    <n v="9999"/>
    <n v="27990"/>
    <x v="0"/>
    <x v="0"/>
    <x v="100"/>
  </r>
  <r>
    <x v="128"/>
    <x v="128"/>
    <x v="20"/>
    <x v="4"/>
    <s v="Electronics|HomeTheater,TV&amp;Video|Accessories|RemoteControls"/>
    <n v="349"/>
    <n v="599"/>
    <x v="21"/>
    <x v="0"/>
    <x v="101"/>
  </r>
  <r>
    <x v="129"/>
    <x v="129"/>
    <x v="8"/>
    <x v="7"/>
    <s v="Electronics|HomeTheater,TV&amp;Video|Accessories|Cables|RCACables"/>
    <n v="489"/>
    <n v="1200"/>
    <x v="53"/>
    <x v="5"/>
    <x v="102"/>
  </r>
  <r>
    <x v="130"/>
    <x v="130"/>
    <x v="14"/>
    <x v="3"/>
    <s v="Electronics|HomeTheater,TV&amp;Video|Televisions|SmartTelevisions"/>
    <n v="23999"/>
    <n v="34990"/>
    <x v="39"/>
    <x v="4"/>
    <x v="21"/>
  </r>
  <r>
    <x v="131"/>
    <x v="131"/>
    <x v="0"/>
    <x v="0"/>
    <s v="Computers&amp;Accessories|Accessories&amp;Peripherals|Cables&amp;Accessories|Cables|USBCables"/>
    <n v="399"/>
    <n v="999"/>
    <x v="13"/>
    <x v="4"/>
    <x v="84"/>
  </r>
  <r>
    <x v="132"/>
    <x v="132"/>
    <x v="50"/>
    <x v="8"/>
    <s v="Electronics|HomeAudio|Accessories|SpeakerAccessories|Mounts"/>
    <n v="349"/>
    <n v="1299"/>
    <x v="25"/>
    <x v="1"/>
    <x v="103"/>
  </r>
  <r>
    <x v="133"/>
    <x v="133"/>
    <x v="6"/>
    <x v="0"/>
    <s v="Computers&amp;Accessories|Accessories&amp;Peripherals|Cables&amp;Accessories|Cables|USBCables"/>
    <n v="179"/>
    <n v="299"/>
    <x v="54"/>
    <x v="2"/>
    <x v="104"/>
  </r>
  <r>
    <x v="134"/>
    <x v="134"/>
    <x v="8"/>
    <x v="0"/>
    <s v="Computers&amp;Accessories|Accessories&amp;Peripherals|Cables&amp;Accessories|Cables|USBCables"/>
    <n v="689"/>
    <n v="1500"/>
    <x v="34"/>
    <x v="0"/>
    <x v="105"/>
  </r>
  <r>
    <x v="135"/>
    <x v="135"/>
    <x v="9"/>
    <x v="3"/>
    <s v="Electronics|HomeTheater,TV&amp;Video|Televisions|SmartTelevisions"/>
    <n v="30990"/>
    <n v="49990"/>
    <x v="16"/>
    <x v="4"/>
    <x v="106"/>
  </r>
  <r>
    <x v="136"/>
    <x v="136"/>
    <x v="5"/>
    <x v="0"/>
    <s v="Computers&amp;Accessories|Accessories&amp;Peripherals|Cables&amp;Accessories|Cables|USBCables"/>
    <n v="249"/>
    <n v="931"/>
    <x v="25"/>
    <x v="2"/>
    <x v="31"/>
  </r>
  <r>
    <x v="137"/>
    <x v="137"/>
    <x v="51"/>
    <x v="2"/>
    <s v="Electronics|HomeTheater,TV&amp;Video|Accessories|Cables|HDMICables"/>
    <n v="999"/>
    <n v="2399"/>
    <x v="30"/>
    <x v="13"/>
    <x v="107"/>
  </r>
  <r>
    <x v="138"/>
    <x v="138"/>
    <x v="52"/>
    <x v="4"/>
    <s v="Electronics|HomeTheater,TV&amp;Video|Accessories|RemoteControls"/>
    <n v="399"/>
    <n v="399"/>
    <x v="26"/>
    <x v="2"/>
    <x v="94"/>
  </r>
  <r>
    <x v="139"/>
    <x v="139"/>
    <x v="3"/>
    <x v="0"/>
    <s v="Computers&amp;Accessories|Accessories&amp;Peripherals|Cables&amp;Accessories|Cables|USBCables"/>
    <n v="349"/>
    <n v="699"/>
    <x v="8"/>
    <x v="4"/>
    <x v="26"/>
  </r>
  <r>
    <x v="140"/>
    <x v="140"/>
    <x v="16"/>
    <x v="0"/>
    <s v="Computers&amp;Accessories|Accessories&amp;Peripherals|Cables&amp;Accessories|Cables|USBCables"/>
    <n v="399"/>
    <n v="1099"/>
    <x v="0"/>
    <x v="3"/>
    <x v="108"/>
  </r>
  <r>
    <x v="141"/>
    <x v="141"/>
    <x v="7"/>
    <x v="1"/>
    <s v="Computers&amp;Accessories|NetworkingDevices|NetworkAdapters|WirelessUSBAdapters"/>
    <n v="1699"/>
    <n v="2999"/>
    <x v="1"/>
    <x v="5"/>
    <x v="43"/>
  </r>
  <r>
    <x v="142"/>
    <x v="142"/>
    <x v="52"/>
    <x v="4"/>
    <s v="Electronics|HomeTheater,TV&amp;Video|Accessories|RemoteControls"/>
    <n v="655"/>
    <n v="1099"/>
    <x v="54"/>
    <x v="14"/>
    <x v="109"/>
  </r>
  <r>
    <x v="143"/>
    <x v="143"/>
    <x v="7"/>
    <x v="1"/>
    <s v="Computers&amp;Accessories|NetworkingDevices|NetworkAdapters|WirelessUSBAdapters"/>
    <n v="749"/>
    <n v="1339"/>
    <x v="15"/>
    <x v="0"/>
    <x v="110"/>
  </r>
  <r>
    <x v="144"/>
    <x v="144"/>
    <x v="53"/>
    <x v="3"/>
    <s v="Electronics|HomeTheater,TV&amp;Video|Televisions|SmartTelevisions"/>
    <n v="9999"/>
    <n v="12999"/>
    <x v="7"/>
    <x v="0"/>
    <x v="111"/>
  </r>
  <r>
    <x v="145"/>
    <x v="145"/>
    <x v="23"/>
    <x v="4"/>
    <s v="Electronics|HomeTheater,TV&amp;Video|Accessories|RemoteControls"/>
    <n v="195"/>
    <n v="499"/>
    <x v="4"/>
    <x v="7"/>
    <x v="112"/>
  </r>
  <r>
    <x v="146"/>
    <x v="146"/>
    <x v="8"/>
    <x v="0"/>
    <s v="Computers&amp;Accessories|Accessories&amp;Peripherals|Cables&amp;Accessories|Cables|USBCables"/>
    <n v="999"/>
    <n v="2100"/>
    <x v="50"/>
    <x v="6"/>
    <x v="113"/>
  </r>
  <r>
    <x v="147"/>
    <x v="147"/>
    <x v="1"/>
    <x v="0"/>
    <s v="Computers&amp;Accessories|Accessories&amp;Peripherals|Cables&amp;Accessories|Cables|USBCables"/>
    <n v="499"/>
    <n v="899"/>
    <x v="15"/>
    <x v="0"/>
    <x v="114"/>
  </r>
  <r>
    <x v="148"/>
    <x v="148"/>
    <x v="54"/>
    <x v="9"/>
    <s v="Electronics|HomeTheater,TV&amp;Video|Accessories|Cables|OpticalCables"/>
    <n v="416"/>
    <n v="599"/>
    <x v="39"/>
    <x v="0"/>
    <x v="115"/>
  </r>
  <r>
    <x v="149"/>
    <x v="149"/>
    <x v="10"/>
    <x v="0"/>
    <s v="Computers&amp;Accessories|Accessories&amp;Peripherals|Cables&amp;Accessories|Cables|USBCables"/>
    <n v="368"/>
    <n v="699"/>
    <x v="41"/>
    <x v="0"/>
    <x v="116"/>
  </r>
  <r>
    <x v="150"/>
    <x v="150"/>
    <x v="41"/>
    <x v="3"/>
    <s v="Electronics|HomeTheater,TV&amp;Video|Televisions|SmartTelevisions"/>
    <n v="29990"/>
    <n v="65000"/>
    <x v="34"/>
    <x v="3"/>
    <x v="117"/>
  </r>
  <r>
    <x v="151"/>
    <x v="151"/>
    <x v="16"/>
    <x v="0"/>
    <s v="Computers&amp;Accessories|Accessories&amp;Peripherals|Cables&amp;Accessories|Cables|USBCables"/>
    <n v="339"/>
    <n v="1099"/>
    <x v="12"/>
    <x v="4"/>
    <x v="29"/>
  </r>
  <r>
    <x v="152"/>
    <x v="152"/>
    <x v="12"/>
    <x v="3"/>
    <s v="Electronics|HomeTheater,TV&amp;Video|Televisions|SmartTelevisions"/>
    <n v="15490"/>
    <n v="20900"/>
    <x v="55"/>
    <x v="4"/>
    <x v="19"/>
  </r>
  <r>
    <x v="153"/>
    <x v="153"/>
    <x v="6"/>
    <x v="0"/>
    <s v="Computers&amp;Accessories|Accessories&amp;Peripherals|Cables&amp;Accessories|Cables|USBCables"/>
    <n v="499"/>
    <n v="1299"/>
    <x v="33"/>
    <x v="4"/>
    <x v="7"/>
  </r>
  <r>
    <x v="154"/>
    <x v="154"/>
    <x v="55"/>
    <x v="1"/>
    <s v="Computers&amp;Accessories|NetworkingDevices|NetworkAdapters|WirelessUSBAdapters"/>
    <n v="249"/>
    <n v="399"/>
    <x v="16"/>
    <x v="10"/>
    <x v="118"/>
  </r>
  <r>
    <x v="155"/>
    <x v="155"/>
    <x v="20"/>
    <x v="4"/>
    <s v="Electronics|HomeTheater,TV&amp;Video|Accessories|RemoteControls"/>
    <n v="399"/>
    <n v="799"/>
    <x v="8"/>
    <x v="4"/>
    <x v="119"/>
  </r>
  <r>
    <x v="156"/>
    <x v="156"/>
    <x v="46"/>
    <x v="0"/>
    <s v="Computers&amp;Accessories|Accessories&amp;Peripherals|Cables&amp;Accessories|Cables|USBCables"/>
    <n v="1499"/>
    <n v="1999"/>
    <x v="23"/>
    <x v="5"/>
    <x v="94"/>
  </r>
  <r>
    <x v="157"/>
    <x v="157"/>
    <x v="56"/>
    <x v="10"/>
    <s v="Electronics|HomeTheater,TV&amp;Video|Projectors"/>
    <n v="9490"/>
    <n v="15990"/>
    <x v="19"/>
    <x v="2"/>
    <x v="120"/>
  </r>
  <r>
    <x v="158"/>
    <x v="158"/>
    <x v="35"/>
    <x v="2"/>
    <s v="Electronics|HomeTheater,TV&amp;Video|Accessories|Cables|HDMICables"/>
    <n v="637"/>
    <n v="1499"/>
    <x v="30"/>
    <x v="3"/>
    <x v="121"/>
  </r>
  <r>
    <x v="159"/>
    <x v="159"/>
    <x v="20"/>
    <x v="4"/>
    <s v="Electronics|HomeTheater,TV&amp;Video|Accessories|RemoteControls"/>
    <n v="399"/>
    <n v="899"/>
    <x v="37"/>
    <x v="2"/>
    <x v="122"/>
  </r>
  <r>
    <x v="160"/>
    <x v="160"/>
    <x v="8"/>
    <x v="9"/>
    <s v="Electronics|HomeTheater,TV&amp;Video|Accessories|Cables|OpticalCables"/>
    <n v="1089"/>
    <n v="1600"/>
    <x v="44"/>
    <x v="1"/>
    <x v="123"/>
  </r>
  <r>
    <x v="161"/>
    <x v="161"/>
    <x v="0"/>
    <x v="0"/>
    <s v="Computers&amp;Accessories|Accessories&amp;Peripherals|Cables&amp;Accessories|Cables|USBCables"/>
    <n v="339"/>
    <n v="999"/>
    <x v="46"/>
    <x v="4"/>
    <x v="124"/>
  </r>
  <r>
    <x v="162"/>
    <x v="162"/>
    <x v="29"/>
    <x v="0"/>
    <s v="Computers&amp;Accessories|Accessories&amp;Peripherals|Cables&amp;Accessories|Cables|USBCables"/>
    <n v="149"/>
    <n v="499"/>
    <x v="20"/>
    <x v="1"/>
    <x v="61"/>
  </r>
  <r>
    <x v="163"/>
    <x v="163"/>
    <x v="1"/>
    <x v="0"/>
    <s v="Computers&amp;Accessories|Accessories&amp;Peripherals|Cables&amp;Accessories|Cables|USBCables"/>
    <n v="149"/>
    <n v="399"/>
    <x v="11"/>
    <x v="2"/>
    <x v="125"/>
  </r>
  <r>
    <x v="164"/>
    <x v="164"/>
    <x v="46"/>
    <x v="0"/>
    <s v="Computers&amp;Accessories|Accessories&amp;Peripherals|Cables&amp;Accessories|Cables|USBCables"/>
    <n v="599"/>
    <n v="849"/>
    <x v="56"/>
    <x v="6"/>
    <x v="126"/>
  </r>
  <r>
    <x v="165"/>
    <x v="165"/>
    <x v="36"/>
    <x v="4"/>
    <s v="Electronics|HomeTheater,TV&amp;Video|Accessories|RemoteControls"/>
    <n v="299"/>
    <n v="1199"/>
    <x v="43"/>
    <x v="2"/>
    <x v="127"/>
  </r>
  <r>
    <x v="166"/>
    <x v="166"/>
    <x v="0"/>
    <x v="0"/>
    <s v="Computers&amp;Accessories|Accessories&amp;Peripherals|Cables&amp;Accessories|Cables|USBCables"/>
    <n v="399"/>
    <n v="1299"/>
    <x v="12"/>
    <x v="0"/>
    <x v="83"/>
  </r>
  <r>
    <x v="167"/>
    <x v="167"/>
    <x v="44"/>
    <x v="4"/>
    <s v="Electronics|HomeTheater,TV&amp;Video|Accessories|RemoteControls"/>
    <n v="339"/>
    <n v="1999"/>
    <x v="57"/>
    <x v="1"/>
    <x v="128"/>
  </r>
  <r>
    <x v="168"/>
    <x v="168"/>
    <x v="14"/>
    <x v="3"/>
    <s v="Electronics|HomeTheater,TV&amp;Video|Televisions|SmartTelevisions"/>
    <n v="12499"/>
    <n v="22990"/>
    <x v="18"/>
    <x v="4"/>
    <x v="129"/>
  </r>
  <r>
    <x v="169"/>
    <x v="169"/>
    <x v="57"/>
    <x v="0"/>
    <s v="Computers&amp;Accessories|Accessories&amp;Peripherals|Cables&amp;Accessories|Cables|USBCables"/>
    <n v="249"/>
    <n v="399"/>
    <x v="16"/>
    <x v="1"/>
    <x v="130"/>
  </r>
  <r>
    <x v="170"/>
    <x v="170"/>
    <x v="7"/>
    <x v="1"/>
    <s v="Computers&amp;Accessories|NetworkingDevices|NetworkAdapters|WirelessUSBAdapters"/>
    <n v="1399"/>
    <n v="2499"/>
    <x v="15"/>
    <x v="5"/>
    <x v="131"/>
  </r>
  <r>
    <x v="171"/>
    <x v="171"/>
    <x v="14"/>
    <x v="3"/>
    <s v="Electronics|HomeTheater,TV&amp;Video|Televisions|SmartTelevisions"/>
    <n v="32999"/>
    <n v="47990"/>
    <x v="39"/>
    <x v="4"/>
    <x v="21"/>
  </r>
  <r>
    <x v="172"/>
    <x v="172"/>
    <x v="1"/>
    <x v="0"/>
    <s v="Computers&amp;Accessories|Accessories&amp;Peripherals|Cables&amp;Accessories|Cables|USBCables"/>
    <n v="149"/>
    <n v="399"/>
    <x v="11"/>
    <x v="1"/>
    <x v="64"/>
  </r>
  <r>
    <x v="173"/>
    <x v="173"/>
    <x v="0"/>
    <x v="0"/>
    <s v="Computers&amp;Accessories|Accessories&amp;Peripherals|Cables&amp;Accessories|Cables|USBCables"/>
    <n v="325"/>
    <n v="999"/>
    <x v="29"/>
    <x v="4"/>
    <x v="132"/>
  </r>
  <r>
    <x v="174"/>
    <x v="174"/>
    <x v="58"/>
    <x v="0"/>
    <s v="Computers&amp;Accessories|Accessories&amp;Peripherals|Cables&amp;Accessories|Cables|USBCables"/>
    <n v="399"/>
    <n v="1999"/>
    <x v="27"/>
    <x v="15"/>
    <x v="133"/>
  </r>
  <r>
    <x v="175"/>
    <x v="175"/>
    <x v="59"/>
    <x v="1"/>
    <s v="Computers&amp;Accessories|NetworkingDevices|NetworkAdapters|WirelessUSBAdapters"/>
    <n v="199"/>
    <n v="499"/>
    <x v="13"/>
    <x v="7"/>
    <x v="134"/>
  </r>
  <r>
    <x v="176"/>
    <x v="176"/>
    <x v="13"/>
    <x v="0"/>
    <s v="Computers&amp;Accessories|Accessories&amp;Peripherals|Cables&amp;Accessories|Cables|USBCables"/>
    <n v="88"/>
    <n v="299"/>
    <x v="58"/>
    <x v="1"/>
    <x v="20"/>
  </r>
  <r>
    <x v="177"/>
    <x v="177"/>
    <x v="16"/>
    <x v="0"/>
    <s v="Computers&amp;Accessories|Accessories&amp;Peripherals|Cables&amp;Accessories|Cables|USBCables"/>
    <n v="399"/>
    <n v="1099"/>
    <x v="0"/>
    <x v="3"/>
    <x v="108"/>
  </r>
  <r>
    <x v="178"/>
    <x v="178"/>
    <x v="13"/>
    <x v="0"/>
    <s v="Computers&amp;Accessories|Accessories&amp;Peripherals|Cables&amp;Accessories|Cables|USBCables"/>
    <n v="57.89"/>
    <n v="199"/>
    <x v="58"/>
    <x v="1"/>
    <x v="20"/>
  </r>
  <r>
    <x v="179"/>
    <x v="179"/>
    <x v="20"/>
    <x v="4"/>
    <s v="Electronics|HomeTheater,TV&amp;Video|Accessories|RemoteControls"/>
    <n v="799"/>
    <n v="1999"/>
    <x v="13"/>
    <x v="8"/>
    <x v="33"/>
  </r>
  <r>
    <x v="180"/>
    <x v="180"/>
    <x v="60"/>
    <x v="4"/>
    <s v="Electronics|HomeTheater,TV&amp;Video|Accessories|RemoteControls"/>
    <n v="205"/>
    <n v="499"/>
    <x v="53"/>
    <x v="11"/>
    <x v="135"/>
  </r>
  <r>
    <x v="181"/>
    <x v="181"/>
    <x v="61"/>
    <x v="0"/>
    <s v="Computers&amp;Accessories|Accessories&amp;Peripherals|Cables&amp;Accessories|Cables|USBCables"/>
    <n v="299"/>
    <n v="699"/>
    <x v="48"/>
    <x v="3"/>
    <x v="136"/>
  </r>
  <r>
    <x v="182"/>
    <x v="182"/>
    <x v="3"/>
    <x v="0"/>
    <s v="Computers&amp;Accessories|Accessories&amp;Peripherals|Cables&amp;Accessories|Cables|USBCables"/>
    <n v="849"/>
    <n v="999"/>
    <x v="59"/>
    <x v="3"/>
    <x v="137"/>
  </r>
  <r>
    <x v="183"/>
    <x v="183"/>
    <x v="8"/>
    <x v="0"/>
    <s v="Computers&amp;Accessories|Accessories&amp;Peripherals|Cables&amp;Accessories|Cables|USBCables"/>
    <n v="949"/>
    <n v="1999"/>
    <x v="3"/>
    <x v="5"/>
    <x v="32"/>
  </r>
  <r>
    <x v="184"/>
    <x v="184"/>
    <x v="8"/>
    <x v="0"/>
    <s v="Computers&amp;Accessories|Accessories&amp;Peripherals|Cables&amp;Accessories|Cables|USBCables"/>
    <n v="499"/>
    <n v="1200"/>
    <x v="30"/>
    <x v="4"/>
    <x v="138"/>
  </r>
  <r>
    <x v="185"/>
    <x v="185"/>
    <x v="19"/>
    <x v="0"/>
    <s v="Computers&amp;Accessories|Accessories&amp;Peripherals|Cables&amp;Accessories|Cables|USBCables"/>
    <n v="299"/>
    <n v="485"/>
    <x v="16"/>
    <x v="4"/>
    <x v="139"/>
  </r>
  <r>
    <x v="186"/>
    <x v="186"/>
    <x v="8"/>
    <x v="0"/>
    <s v="Computers&amp;Accessories|Accessories&amp;Peripherals|Cables&amp;Accessories|Cables|USBCables"/>
    <n v="949"/>
    <n v="1999"/>
    <x v="3"/>
    <x v="5"/>
    <x v="32"/>
  </r>
  <r>
    <x v="187"/>
    <x v="187"/>
    <x v="0"/>
    <x v="0"/>
    <s v="Computers&amp;Accessories|Accessories&amp;Peripherals|Cables&amp;Accessories|Cables|USBCables"/>
    <n v="379"/>
    <n v="1099"/>
    <x v="46"/>
    <x v="4"/>
    <x v="84"/>
  </r>
  <r>
    <x v="188"/>
    <x v="188"/>
    <x v="62"/>
    <x v="3"/>
    <s v="Electronics|HomeTheater,TV&amp;Video|Televisions|SmartTelevisions"/>
    <n v="8990"/>
    <n v="18990"/>
    <x v="3"/>
    <x v="2"/>
    <x v="140"/>
  </r>
  <r>
    <x v="189"/>
    <x v="189"/>
    <x v="54"/>
    <x v="9"/>
    <s v="Electronics|HomeTheater,TV&amp;Video|Accessories|Cables|OpticalCables"/>
    <n v="486"/>
    <n v="1999"/>
    <x v="60"/>
    <x v="0"/>
    <x v="115"/>
  </r>
  <r>
    <x v="190"/>
    <x v="190"/>
    <x v="21"/>
    <x v="5"/>
    <s v="Electronics|HomeTheater,TV&amp;Video|Televisions|StandardTelevisions"/>
    <n v="5699"/>
    <n v="11000"/>
    <x v="61"/>
    <x v="0"/>
    <x v="45"/>
  </r>
  <r>
    <x v="191"/>
    <x v="191"/>
    <x v="19"/>
    <x v="0"/>
    <s v="Computers&amp;Accessories|Accessories&amp;Peripherals|Cables&amp;Accessories|Cables|USBCables"/>
    <n v="709"/>
    <n v="1999"/>
    <x v="6"/>
    <x v="3"/>
    <x v="141"/>
  </r>
  <r>
    <x v="192"/>
    <x v="192"/>
    <x v="12"/>
    <x v="3"/>
    <s v="Electronics|HomeTheater,TV&amp;Video|Televisions|SmartTelevisions"/>
    <n v="47990"/>
    <n v="70900"/>
    <x v="44"/>
    <x v="4"/>
    <x v="51"/>
  </r>
  <r>
    <x v="193"/>
    <x v="193"/>
    <x v="36"/>
    <x v="4"/>
    <s v="Electronics|HomeTheater,TV&amp;Video|Accessories|RemoteControls"/>
    <n v="299"/>
    <n v="1199"/>
    <x v="43"/>
    <x v="7"/>
    <x v="142"/>
  </r>
  <r>
    <x v="194"/>
    <x v="194"/>
    <x v="10"/>
    <x v="0"/>
    <s v="Computers&amp;Accessories|Accessories&amp;Peripherals|Cables&amp;Accessories|Cables|USBCables"/>
    <n v="320"/>
    <n v="599"/>
    <x v="41"/>
    <x v="3"/>
    <x v="143"/>
  </r>
  <r>
    <x v="195"/>
    <x v="195"/>
    <x v="35"/>
    <x v="0"/>
    <s v="Computers&amp;Accessories|Accessories&amp;Peripherals|Cables&amp;Accessories|Cables|USBCables"/>
    <n v="139"/>
    <n v="549"/>
    <x v="43"/>
    <x v="2"/>
    <x v="144"/>
  </r>
  <r>
    <x v="196"/>
    <x v="196"/>
    <x v="13"/>
    <x v="0"/>
    <s v="Computers&amp;Accessories|Accessories&amp;Peripherals|Cables&amp;Accessories|Cables|USBCables"/>
    <n v="129"/>
    <n v="249"/>
    <x v="61"/>
    <x v="1"/>
    <x v="20"/>
  </r>
  <r>
    <x v="197"/>
    <x v="197"/>
    <x v="6"/>
    <x v="3"/>
    <s v="Electronics|HomeTheater,TV&amp;Video|Televisions|SmartTelevisions"/>
    <n v="24999"/>
    <n v="35999"/>
    <x v="39"/>
    <x v="0"/>
    <x v="14"/>
  </r>
  <r>
    <x v="198"/>
    <x v="198"/>
    <x v="46"/>
    <x v="0"/>
    <s v="Computers&amp;Accessories|Accessories&amp;Peripherals|Cables&amp;Accessories|Cables|USBCables"/>
    <n v="999"/>
    <n v="1699"/>
    <x v="19"/>
    <x v="5"/>
    <x v="145"/>
  </r>
  <r>
    <x v="199"/>
    <x v="199"/>
    <x v="63"/>
    <x v="0"/>
    <s v="Computers&amp;Accessories|Accessories&amp;Peripherals|Cables&amp;Accessories|Cables|USBCables"/>
    <n v="225"/>
    <n v="499"/>
    <x v="10"/>
    <x v="3"/>
    <x v="146"/>
  </r>
  <r>
    <x v="200"/>
    <x v="200"/>
    <x v="64"/>
    <x v="4"/>
    <s v="Electronics|HomeTheater,TV&amp;Video|Accessories|RemoteControls"/>
    <n v="547"/>
    <n v="2999"/>
    <x v="62"/>
    <x v="4"/>
    <x v="147"/>
  </r>
  <r>
    <x v="201"/>
    <x v="201"/>
    <x v="61"/>
    <x v="0"/>
    <s v="Computers&amp;Accessories|Accessories&amp;Peripherals|Cables&amp;Accessories|Cables|USBCables"/>
    <n v="259"/>
    <n v="699"/>
    <x v="11"/>
    <x v="11"/>
    <x v="148"/>
  </r>
  <r>
    <x v="202"/>
    <x v="202"/>
    <x v="65"/>
    <x v="4"/>
    <s v="Electronics|HomeTheater,TV&amp;Video|Accessories|RemoteControls"/>
    <n v="239"/>
    <n v="699"/>
    <x v="46"/>
    <x v="5"/>
    <x v="149"/>
  </r>
  <r>
    <x v="203"/>
    <x v="203"/>
    <x v="43"/>
    <x v="4"/>
    <s v="Electronics|HomeTheater,TV&amp;Video|Accessories|RemoteControls"/>
    <n v="349"/>
    <n v="999"/>
    <x v="6"/>
    <x v="1"/>
    <x v="150"/>
  </r>
  <r>
    <x v="204"/>
    <x v="204"/>
    <x v="54"/>
    <x v="2"/>
    <s v="Electronics|HomeTheater,TV&amp;Video|Accessories|Cables|HDMICables"/>
    <n v="467"/>
    <n v="599"/>
    <x v="47"/>
    <x v="5"/>
    <x v="151"/>
  </r>
  <r>
    <x v="205"/>
    <x v="205"/>
    <x v="66"/>
    <x v="0"/>
    <s v="Computers&amp;Accessories|Accessories&amp;Peripherals|Cables&amp;Accessories|Cables|USBCables"/>
    <n v="449"/>
    <n v="599"/>
    <x v="23"/>
    <x v="1"/>
    <x v="152"/>
  </r>
  <r>
    <x v="206"/>
    <x v="206"/>
    <x v="30"/>
    <x v="3"/>
    <s v="Electronics|HomeTheater,TV&amp;Video|Televisions|SmartTelevisions"/>
    <n v="11990"/>
    <n v="31990"/>
    <x v="11"/>
    <x v="0"/>
    <x v="153"/>
  </r>
  <r>
    <x v="207"/>
    <x v="207"/>
    <x v="67"/>
    <x v="0"/>
    <s v="Computers&amp;Accessories|Accessories&amp;Peripherals|Cables&amp;Accessories|Cables|USBCables"/>
    <n v="350"/>
    <n v="599"/>
    <x v="21"/>
    <x v="2"/>
    <x v="154"/>
  </r>
  <r>
    <x v="208"/>
    <x v="208"/>
    <x v="68"/>
    <x v="0"/>
    <s v="Computers&amp;Accessories|Accessories&amp;Peripherals|Cables&amp;Accessories|Cables|USBCables"/>
    <n v="252"/>
    <n v="999"/>
    <x v="43"/>
    <x v="7"/>
    <x v="155"/>
  </r>
  <r>
    <x v="209"/>
    <x v="209"/>
    <x v="22"/>
    <x v="4"/>
    <s v="Electronics|HomeTheater,TV&amp;Video|Accessories|RemoteControls"/>
    <n v="204"/>
    <n v="599"/>
    <x v="46"/>
    <x v="9"/>
    <x v="156"/>
  </r>
  <r>
    <x v="210"/>
    <x v="210"/>
    <x v="69"/>
    <x v="10"/>
    <s v="Electronics|HomeTheater,TV&amp;Video|Projectors"/>
    <n v="6490"/>
    <n v="9990"/>
    <x v="31"/>
    <x v="1"/>
    <x v="157"/>
  </r>
  <r>
    <x v="211"/>
    <x v="211"/>
    <x v="20"/>
    <x v="4"/>
    <s v="Electronics|HomeTheater,TV&amp;Video|Accessories|RemoteControls"/>
    <n v="235"/>
    <n v="599"/>
    <x v="4"/>
    <x v="12"/>
    <x v="158"/>
  </r>
  <r>
    <x v="212"/>
    <x v="212"/>
    <x v="8"/>
    <x v="0"/>
    <s v="Computers&amp;Accessories|Accessories&amp;Peripherals|Cables&amp;Accessories|Cables|USBCables"/>
    <n v="299"/>
    <n v="800"/>
    <x v="11"/>
    <x v="6"/>
    <x v="159"/>
  </r>
  <r>
    <x v="213"/>
    <x v="213"/>
    <x v="19"/>
    <x v="0"/>
    <s v="Computers&amp;Accessories|Accessories&amp;Peripherals|Cables&amp;Accessories|Cables|USBCables"/>
    <n v="799"/>
    <n v="1999"/>
    <x v="13"/>
    <x v="0"/>
    <x v="160"/>
  </r>
  <r>
    <x v="214"/>
    <x v="214"/>
    <x v="70"/>
    <x v="4"/>
    <s v="Electronics|HomeTheater,TV&amp;Video|Accessories|RemoteControls"/>
    <n v="299"/>
    <n v="999"/>
    <x v="20"/>
    <x v="11"/>
    <x v="161"/>
  </r>
  <r>
    <x v="215"/>
    <x v="215"/>
    <x v="62"/>
    <x v="5"/>
    <s v="Electronics|HomeTheater,TV&amp;Video|Televisions|StandardTelevisions"/>
    <n v="6999"/>
    <n v="16990"/>
    <x v="53"/>
    <x v="11"/>
    <x v="162"/>
  </r>
  <r>
    <x v="216"/>
    <x v="216"/>
    <x v="15"/>
    <x v="3"/>
    <s v="Electronics|HomeTheater,TV&amp;Video|Televisions|SmartTelevisions"/>
    <n v="42999"/>
    <n v="59999"/>
    <x v="28"/>
    <x v="3"/>
    <x v="163"/>
  </r>
  <r>
    <x v="217"/>
    <x v="217"/>
    <x v="71"/>
    <x v="2"/>
    <s v="Electronics|HomeTheater,TV&amp;Video|Accessories|Cables|HDMICables"/>
    <n v="173"/>
    <n v="999"/>
    <x v="57"/>
    <x v="4"/>
    <x v="164"/>
  </r>
  <r>
    <x v="218"/>
    <x v="218"/>
    <x v="19"/>
    <x v="11"/>
    <s v="Electronics|HomeAudio|Accessories|Adapters"/>
    <n v="209"/>
    <n v="600"/>
    <x v="6"/>
    <x v="5"/>
    <x v="165"/>
  </r>
  <r>
    <x v="219"/>
    <x v="219"/>
    <x v="3"/>
    <x v="0"/>
    <s v="Computers&amp;Accessories|Accessories&amp;Peripherals|Cables&amp;Accessories|Cables|USBCables"/>
    <n v="848.99"/>
    <n v="1490"/>
    <x v="1"/>
    <x v="2"/>
    <x v="166"/>
  </r>
  <r>
    <x v="220"/>
    <x v="220"/>
    <x v="0"/>
    <x v="0"/>
    <s v="Computers&amp;Accessories|Accessories&amp;Peripherals|Cables&amp;Accessories|Cables|USBCables"/>
    <n v="649"/>
    <n v="1999"/>
    <x v="45"/>
    <x v="0"/>
    <x v="0"/>
  </r>
  <r>
    <x v="221"/>
    <x v="221"/>
    <x v="72"/>
    <x v="4"/>
    <s v="Electronics|HomeTheater,TV&amp;Video|Accessories|RemoteControls"/>
    <n v="299"/>
    <n v="899"/>
    <x v="29"/>
    <x v="11"/>
    <x v="73"/>
  </r>
  <r>
    <x v="222"/>
    <x v="222"/>
    <x v="73"/>
    <x v="6"/>
    <s v="Electronics|HomeTheater,TV&amp;Video|Accessories|TVMounts,Stands&amp;Turntables|TVWall&amp;CeilingMounts"/>
    <n v="399"/>
    <n v="799"/>
    <x v="8"/>
    <x v="3"/>
    <x v="167"/>
  </r>
  <r>
    <x v="223"/>
    <x v="223"/>
    <x v="4"/>
    <x v="0"/>
    <s v="Computers&amp;Accessories|Accessories&amp;Peripherals|Cables&amp;Accessories|Cables|USBCables"/>
    <n v="249"/>
    <n v="499"/>
    <x v="8"/>
    <x v="3"/>
    <x v="168"/>
  </r>
  <r>
    <x v="224"/>
    <x v="224"/>
    <x v="22"/>
    <x v="12"/>
    <s v="Electronics|HomeTheater,TV&amp;Video|SatelliteEquipment|SatelliteReceivers"/>
    <n v="1249"/>
    <n v="2299"/>
    <x v="18"/>
    <x v="4"/>
    <x v="169"/>
  </r>
  <r>
    <x v="225"/>
    <x v="225"/>
    <x v="47"/>
    <x v="4"/>
    <s v="Electronics|HomeTheater,TV&amp;Video|Accessories|RemoteControls"/>
    <n v="213"/>
    <n v="499"/>
    <x v="48"/>
    <x v="7"/>
    <x v="170"/>
  </r>
  <r>
    <x v="226"/>
    <x v="226"/>
    <x v="74"/>
    <x v="4"/>
    <s v="Electronics|HomeTheater,TV&amp;Video|Accessories|RemoteControls"/>
    <n v="209"/>
    <n v="499"/>
    <x v="30"/>
    <x v="1"/>
    <x v="171"/>
  </r>
  <r>
    <x v="227"/>
    <x v="227"/>
    <x v="75"/>
    <x v="2"/>
    <s v="Electronics|HomeTheater,TV&amp;Video|Accessories|Cables|HDMICables"/>
    <n v="598"/>
    <n v="4999"/>
    <x v="51"/>
    <x v="0"/>
    <x v="172"/>
  </r>
  <r>
    <x v="228"/>
    <x v="228"/>
    <x v="3"/>
    <x v="0"/>
    <s v="Computers&amp;Accessories|Accessories&amp;Peripherals|Cables&amp;Accessories|Cables|USBCables"/>
    <n v="799"/>
    <n v="1749"/>
    <x v="34"/>
    <x v="3"/>
    <x v="173"/>
  </r>
  <r>
    <x v="229"/>
    <x v="229"/>
    <x v="76"/>
    <x v="0"/>
    <s v="Computers&amp;Accessories|Accessories&amp;Peripherals|Cables&amp;Accessories|Cables|USBCables"/>
    <n v="159"/>
    <n v="595"/>
    <x v="25"/>
    <x v="4"/>
    <x v="174"/>
  </r>
  <r>
    <x v="230"/>
    <x v="230"/>
    <x v="8"/>
    <x v="13"/>
    <s v="Computers&amp;Accessories|Accessories&amp;Peripherals|Cables&amp;Accessories|Cables|DVICables"/>
    <n v="499"/>
    <n v="1100"/>
    <x v="10"/>
    <x v="5"/>
    <x v="175"/>
  </r>
  <r>
    <x v="231"/>
    <x v="231"/>
    <x v="6"/>
    <x v="3"/>
    <s v="Electronics|HomeTheater,TV&amp;Video|Televisions|SmartTelevisions"/>
    <n v="31999"/>
    <n v="49999"/>
    <x v="63"/>
    <x v="4"/>
    <x v="176"/>
  </r>
  <r>
    <x v="232"/>
    <x v="232"/>
    <x v="77"/>
    <x v="3"/>
    <s v="Electronics|HomeTheater,TV&amp;Video|Televisions|SmartTelevisions"/>
    <n v="32990"/>
    <n v="56790"/>
    <x v="21"/>
    <x v="4"/>
    <x v="177"/>
  </r>
  <r>
    <x v="233"/>
    <x v="233"/>
    <x v="36"/>
    <x v="4"/>
    <s v="Electronics|HomeTheater,TV&amp;Video|Accessories|RemoteControls"/>
    <n v="299"/>
    <n v="1199"/>
    <x v="43"/>
    <x v="12"/>
    <x v="178"/>
  </r>
  <r>
    <x v="234"/>
    <x v="234"/>
    <x v="35"/>
    <x v="0"/>
    <s v="Computers&amp;Accessories|Accessories&amp;Peripherals|Cables&amp;Accessories|Cables|USBCables"/>
    <n v="128.31"/>
    <n v="549"/>
    <x v="36"/>
    <x v="2"/>
    <x v="144"/>
  </r>
  <r>
    <x v="235"/>
    <x v="235"/>
    <x v="46"/>
    <x v="0"/>
    <s v="Computers&amp;Accessories|Accessories&amp;Peripherals|Cables&amp;Accessories|Cables|USBCables"/>
    <n v="599"/>
    <n v="849"/>
    <x v="56"/>
    <x v="6"/>
    <x v="179"/>
  </r>
  <r>
    <x v="236"/>
    <x v="236"/>
    <x v="20"/>
    <x v="4"/>
    <s v="Electronics|HomeTheater,TV&amp;Video|Accessories|RemoteControls"/>
    <n v="399"/>
    <n v="899"/>
    <x v="37"/>
    <x v="10"/>
    <x v="180"/>
  </r>
  <r>
    <x v="237"/>
    <x v="237"/>
    <x v="0"/>
    <x v="0"/>
    <s v="Computers&amp;Accessories|Accessories&amp;Peripherals|Cables&amp;Accessories|Cables|USBCables"/>
    <n v="449"/>
    <n v="1099"/>
    <x v="53"/>
    <x v="1"/>
    <x v="181"/>
  </r>
  <r>
    <x v="238"/>
    <x v="238"/>
    <x v="78"/>
    <x v="0"/>
    <s v="Computers&amp;Accessories|Accessories&amp;Peripherals|Cables&amp;Accessories|Cables|USBCables"/>
    <n v="254"/>
    <n v="799"/>
    <x v="45"/>
    <x v="1"/>
    <x v="182"/>
  </r>
  <r>
    <x v="239"/>
    <x v="239"/>
    <x v="19"/>
    <x v="14"/>
    <s v="Electronics|HomeTheater,TV&amp;Video|Accessories|Cables|SpeakerCables"/>
    <n v="399"/>
    <n v="795"/>
    <x v="8"/>
    <x v="5"/>
    <x v="183"/>
  </r>
  <r>
    <x v="240"/>
    <x v="240"/>
    <x v="1"/>
    <x v="0"/>
    <s v="Computers&amp;Accessories|Accessories&amp;Peripherals|Cables&amp;Accessories|Cables|USBCables"/>
    <n v="179"/>
    <n v="399"/>
    <x v="10"/>
    <x v="1"/>
    <x v="64"/>
  </r>
  <r>
    <x v="241"/>
    <x v="241"/>
    <x v="0"/>
    <x v="0"/>
    <s v="Computers&amp;Accessories|Accessories&amp;Peripherals|Cables&amp;Accessories|Cables|USBCables"/>
    <n v="339"/>
    <n v="999"/>
    <x v="46"/>
    <x v="4"/>
    <x v="124"/>
  </r>
  <r>
    <x v="242"/>
    <x v="242"/>
    <x v="73"/>
    <x v="6"/>
    <s v="Electronics|HomeTheater,TV&amp;Video|Accessories|TVMounts,Stands&amp;Turntables|TVWall&amp;CeilingMounts"/>
    <n v="399"/>
    <n v="999"/>
    <x v="13"/>
    <x v="1"/>
    <x v="184"/>
  </r>
  <r>
    <x v="243"/>
    <x v="243"/>
    <x v="79"/>
    <x v="4"/>
    <s v="Electronics|HomeTheater,TV&amp;Video|Accessories|RemoteControls"/>
    <n v="199"/>
    <n v="399"/>
    <x v="8"/>
    <x v="0"/>
    <x v="185"/>
  </r>
  <r>
    <x v="244"/>
    <x v="244"/>
    <x v="44"/>
    <x v="4"/>
    <s v="Electronics|HomeTheater,TV&amp;Video|Accessories|RemoteControls"/>
    <n v="349"/>
    <n v="1999"/>
    <x v="57"/>
    <x v="11"/>
    <x v="158"/>
  </r>
  <r>
    <x v="245"/>
    <x v="245"/>
    <x v="3"/>
    <x v="0"/>
    <s v="Computers&amp;Accessories|Accessories&amp;Peripherals|Cables&amp;Accessories|Cables|USBCables"/>
    <n v="299"/>
    <n v="798"/>
    <x v="11"/>
    <x v="5"/>
    <x v="69"/>
  </r>
  <r>
    <x v="246"/>
    <x v="246"/>
    <x v="5"/>
    <x v="0"/>
    <s v="Computers&amp;Accessories|Accessories&amp;Peripherals|Cables&amp;Accessories|Cables|USBCables"/>
    <n v="89"/>
    <n v="800"/>
    <x v="64"/>
    <x v="2"/>
    <x v="31"/>
  </r>
  <r>
    <x v="247"/>
    <x v="247"/>
    <x v="8"/>
    <x v="0"/>
    <s v="Computers&amp;Accessories|Accessories&amp;Peripherals|Cables&amp;Accessories|Cables|USBCables"/>
    <n v="549"/>
    <n v="995"/>
    <x v="32"/>
    <x v="0"/>
    <x v="53"/>
  </r>
  <r>
    <x v="248"/>
    <x v="248"/>
    <x v="42"/>
    <x v="0"/>
    <s v="Computers&amp;Accessories|Accessories&amp;Peripherals|Cables&amp;Accessories|Cables|USBCables"/>
    <n v="129"/>
    <n v="1000"/>
    <x v="65"/>
    <x v="2"/>
    <x v="186"/>
  </r>
  <r>
    <x v="249"/>
    <x v="249"/>
    <x v="60"/>
    <x v="3"/>
    <s v="Electronics|HomeTheater,TV&amp;Video|Televisions|SmartTelevisions"/>
    <n v="77990"/>
    <s v="1,39,900"/>
    <x v="15"/>
    <x v="16"/>
    <x v="187"/>
  </r>
  <r>
    <x v="250"/>
    <x v="250"/>
    <x v="20"/>
    <x v="4"/>
    <s v="Electronics|HomeTheater,TV&amp;Video|Accessories|RemoteControls"/>
    <n v="349"/>
    <n v="799"/>
    <x v="37"/>
    <x v="9"/>
    <x v="188"/>
  </r>
  <r>
    <x v="251"/>
    <x v="251"/>
    <x v="20"/>
    <x v="4"/>
    <s v="Electronics|HomeTheater,TV&amp;Video|Accessories|RemoteControls"/>
    <n v="499"/>
    <n v="899"/>
    <x v="15"/>
    <x v="7"/>
    <x v="189"/>
  </r>
  <r>
    <x v="252"/>
    <x v="252"/>
    <x v="61"/>
    <x v="0"/>
    <s v="Computers&amp;Accessories|Accessories&amp;Peripherals|Cables&amp;Accessories|Cables|USBCables"/>
    <n v="299"/>
    <n v="799"/>
    <x v="11"/>
    <x v="0"/>
    <x v="190"/>
  </r>
  <r>
    <x v="253"/>
    <x v="253"/>
    <x v="13"/>
    <x v="0"/>
    <s v="Computers&amp;Accessories|Accessories&amp;Peripherals|Cables&amp;Accessories|Cables|USBCables"/>
    <n v="182"/>
    <n v="599"/>
    <x v="20"/>
    <x v="1"/>
    <x v="20"/>
  </r>
  <r>
    <x v="254"/>
    <x v="254"/>
    <x v="80"/>
    <x v="6"/>
    <s v="Electronics|HomeTheater,TV&amp;Video|Accessories|TVMounts,Stands&amp;Turntables|TVWall&amp;CeilingMounts"/>
    <n v="96"/>
    <n v="399"/>
    <x v="60"/>
    <x v="9"/>
    <x v="191"/>
  </r>
  <r>
    <x v="255"/>
    <x v="255"/>
    <x v="41"/>
    <x v="3"/>
    <s v="Electronics|HomeTheater,TV&amp;Video|Televisions|SmartTelevisions"/>
    <n v="54990"/>
    <n v="85000"/>
    <x v="31"/>
    <x v="4"/>
    <x v="86"/>
  </r>
  <r>
    <x v="256"/>
    <x v="256"/>
    <x v="81"/>
    <x v="7"/>
    <s v="Electronics|HomeTheater,TV&amp;Video|Accessories|Cables|RCACables"/>
    <n v="439"/>
    <n v="758"/>
    <x v="21"/>
    <x v="0"/>
    <x v="192"/>
  </r>
  <r>
    <x v="257"/>
    <x v="257"/>
    <x v="0"/>
    <x v="0"/>
    <s v="Computers&amp;Accessories|Accessories&amp;Peripherals|Cables&amp;Accessories|Cables|USBCables"/>
    <n v="299"/>
    <n v="999"/>
    <x v="20"/>
    <x v="4"/>
    <x v="132"/>
  </r>
  <r>
    <x v="258"/>
    <x v="258"/>
    <x v="3"/>
    <x v="0"/>
    <s v="Computers&amp;Accessories|Accessories&amp;Peripherals|Cables&amp;Accessories|Cables|USBCables"/>
    <n v="299"/>
    <n v="799"/>
    <x v="11"/>
    <x v="0"/>
    <x v="3"/>
  </r>
  <r>
    <x v="259"/>
    <x v="259"/>
    <x v="19"/>
    <x v="0"/>
    <s v="Computers&amp;Accessories|Accessories&amp;Peripherals|Cables&amp;Accessories|Cables|USBCables"/>
    <n v="789"/>
    <n v="1999"/>
    <x v="4"/>
    <x v="0"/>
    <x v="193"/>
  </r>
  <r>
    <x v="260"/>
    <x v="260"/>
    <x v="8"/>
    <x v="2"/>
    <s v="Electronics|HomeTheater,TV&amp;Video|Accessories|Cables|HDMICables"/>
    <n v="299"/>
    <n v="700"/>
    <x v="48"/>
    <x v="5"/>
    <x v="194"/>
  </r>
  <r>
    <x v="261"/>
    <x v="261"/>
    <x v="0"/>
    <x v="0"/>
    <s v="Computers&amp;Accessories|Accessories&amp;Peripherals|Cables&amp;Accessories|Cables|USBCables"/>
    <n v="325"/>
    <n v="1099"/>
    <x v="20"/>
    <x v="0"/>
    <x v="70"/>
  </r>
  <r>
    <x v="262"/>
    <x v="262"/>
    <x v="46"/>
    <x v="0"/>
    <s v="Computers&amp;Accessories|Accessories&amp;Peripherals|Cables&amp;Accessories|Cables|USBCables"/>
    <n v="1299"/>
    <n v="1999"/>
    <x v="31"/>
    <x v="5"/>
    <x v="145"/>
  </r>
  <r>
    <x v="263"/>
    <x v="263"/>
    <x v="82"/>
    <x v="4"/>
    <s v="Electronics|HomeTheater,TV&amp;Video|Accessories|RemoteControls"/>
    <n v="790"/>
    <n v="1999"/>
    <x v="13"/>
    <x v="17"/>
    <x v="195"/>
  </r>
  <r>
    <x v="264"/>
    <x v="264"/>
    <x v="57"/>
    <x v="15"/>
    <s v="Electronics|HomeAudio|MediaStreamingDevices|StreamingClients"/>
    <n v="4699"/>
    <n v="4699"/>
    <x v="26"/>
    <x v="6"/>
    <x v="196"/>
  </r>
  <r>
    <x v="265"/>
    <x v="265"/>
    <x v="14"/>
    <x v="3"/>
    <s v="Electronics|HomeTheater,TV&amp;Video|Televisions|SmartTelevisions"/>
    <n v="18999"/>
    <n v="24990"/>
    <x v="66"/>
    <x v="4"/>
    <x v="197"/>
  </r>
  <r>
    <x v="266"/>
    <x v="266"/>
    <x v="24"/>
    <x v="0"/>
    <s v="Computers&amp;Accessories|Accessories&amp;Peripherals|Cables&amp;Accessories|Cables|USBCables"/>
    <n v="199"/>
    <n v="999"/>
    <x v="27"/>
    <x v="0"/>
    <x v="198"/>
  </r>
  <r>
    <x v="267"/>
    <x v="267"/>
    <x v="8"/>
    <x v="2"/>
    <s v="Electronics|HomeTheater,TV&amp;Video|Accessories|Cables|HDMICables"/>
    <n v="269"/>
    <n v="650"/>
    <x v="53"/>
    <x v="5"/>
    <x v="199"/>
  </r>
  <r>
    <x v="268"/>
    <x v="268"/>
    <x v="83"/>
    <x v="16"/>
    <s v="Electronics|HomeTheater,TV&amp;Video|AVReceivers&amp;Amplifiers"/>
    <n v="1990"/>
    <n v="3100"/>
    <x v="63"/>
    <x v="1"/>
    <x v="200"/>
  </r>
  <r>
    <x v="269"/>
    <x v="269"/>
    <x v="84"/>
    <x v="17"/>
    <s v="Electronics|HomeAudio|Speakers|TowerSpeakers"/>
    <n v="2299"/>
    <n v="3999"/>
    <x v="1"/>
    <x v="11"/>
    <x v="201"/>
  </r>
  <r>
    <x v="270"/>
    <x v="270"/>
    <x v="14"/>
    <x v="3"/>
    <s v="Electronics|HomeTheater,TV&amp;Video|Televisions|SmartTelevisions"/>
    <n v="35999"/>
    <n v="49990"/>
    <x v="28"/>
    <x v="4"/>
    <x v="129"/>
  </r>
  <r>
    <x v="271"/>
    <x v="271"/>
    <x v="38"/>
    <x v="4"/>
    <s v="Electronics|HomeTheater,TV&amp;Video|Accessories|RemoteControls"/>
    <n v="349"/>
    <n v="999"/>
    <x v="6"/>
    <x v="0"/>
    <x v="202"/>
  </r>
  <r>
    <x v="272"/>
    <x v="272"/>
    <x v="0"/>
    <x v="0"/>
    <s v="Computers&amp;Accessories|Accessories&amp;Peripherals|Cables&amp;Accessories|Cables|USBCables"/>
    <n v="719"/>
    <n v="1499"/>
    <x v="50"/>
    <x v="3"/>
    <x v="79"/>
  </r>
  <r>
    <x v="273"/>
    <x v="273"/>
    <x v="21"/>
    <x v="3"/>
    <s v="Electronics|HomeTheater,TV&amp;Video|Televisions|SmartTelevisions"/>
    <n v="8999"/>
    <n v="18999"/>
    <x v="3"/>
    <x v="1"/>
    <x v="203"/>
  </r>
  <r>
    <x v="274"/>
    <x v="274"/>
    <x v="23"/>
    <x v="12"/>
    <s v="Electronics|HomeTheater,TV&amp;Video|SatelliteEquipment|SatelliteReceivers"/>
    <n v="917"/>
    <n v="2299"/>
    <x v="13"/>
    <x v="0"/>
    <x v="204"/>
  </r>
  <r>
    <x v="275"/>
    <x v="275"/>
    <x v="36"/>
    <x v="4"/>
    <s v="Electronics|HomeTheater,TV&amp;Video|Accessories|RemoteControls"/>
    <n v="399"/>
    <n v="999"/>
    <x v="13"/>
    <x v="8"/>
    <x v="205"/>
  </r>
  <r>
    <x v="276"/>
    <x v="276"/>
    <x v="12"/>
    <x v="3"/>
    <s v="Electronics|HomeTheater,TV&amp;Video|Televisions|SmartTelevisions"/>
    <n v="45999"/>
    <n v="69900"/>
    <x v="67"/>
    <x v="4"/>
    <x v="51"/>
  </r>
  <r>
    <x v="277"/>
    <x v="277"/>
    <x v="19"/>
    <x v="0"/>
    <s v="Computers&amp;Accessories|Accessories&amp;Peripherals|Cables&amp;Accessories|Cables|USBCables"/>
    <n v="119"/>
    <n v="299"/>
    <x v="13"/>
    <x v="11"/>
    <x v="206"/>
  </r>
  <r>
    <x v="278"/>
    <x v="278"/>
    <x v="6"/>
    <x v="3"/>
    <s v="Electronics|HomeTheater,TV&amp;Video|Televisions|SmartTelevisions"/>
    <n v="21999"/>
    <n v="29999"/>
    <x v="35"/>
    <x v="0"/>
    <x v="14"/>
  </r>
  <r>
    <x v="279"/>
    <x v="279"/>
    <x v="72"/>
    <x v="4"/>
    <s v="Electronics|HomeTheater,TV&amp;Video|Accessories|RemoteControls"/>
    <n v="299"/>
    <n v="599"/>
    <x v="8"/>
    <x v="7"/>
    <x v="207"/>
  </r>
  <r>
    <x v="280"/>
    <x v="280"/>
    <x v="85"/>
    <x v="3"/>
    <s v="Electronics|HomeTheater,TV&amp;Video|Televisions|SmartTelevisions"/>
    <n v="21990"/>
    <n v="34990"/>
    <x v="42"/>
    <x v="4"/>
    <x v="208"/>
  </r>
  <r>
    <x v="281"/>
    <x v="281"/>
    <x v="86"/>
    <x v="0"/>
    <s v="Computers&amp;Accessories|Accessories&amp;Peripherals|Cables&amp;Accessories|Cables|USBCables"/>
    <n v="417.44"/>
    <n v="670"/>
    <x v="16"/>
    <x v="2"/>
    <x v="209"/>
  </r>
  <r>
    <x v="282"/>
    <x v="282"/>
    <x v="19"/>
    <x v="0"/>
    <s v="Computers&amp;Accessories|Accessories&amp;Peripherals|Cables&amp;Accessories|Cables|USBCables"/>
    <n v="199"/>
    <n v="999"/>
    <x v="27"/>
    <x v="17"/>
    <x v="210"/>
  </r>
  <r>
    <x v="283"/>
    <x v="283"/>
    <x v="9"/>
    <x v="3"/>
    <s v="Electronics|HomeTheater,TV&amp;Video|Televisions|SmartTelevisions"/>
    <n v="47990"/>
    <n v="79990"/>
    <x v="54"/>
    <x v="4"/>
    <x v="106"/>
  </r>
  <r>
    <x v="284"/>
    <x v="284"/>
    <x v="22"/>
    <x v="4"/>
    <s v="Electronics|HomeTheater,TV&amp;Video|Accessories|RemoteControls"/>
    <n v="215"/>
    <n v="499"/>
    <x v="48"/>
    <x v="12"/>
    <x v="211"/>
  </r>
  <r>
    <x v="285"/>
    <x v="285"/>
    <x v="5"/>
    <x v="0"/>
    <s v="Computers&amp;Accessories|Accessories&amp;Peripherals|Cables&amp;Accessories|Cables|USBCables"/>
    <n v="99"/>
    <n v="800"/>
    <x v="51"/>
    <x v="2"/>
    <x v="31"/>
  </r>
  <r>
    <x v="286"/>
    <x v="286"/>
    <x v="41"/>
    <x v="3"/>
    <s v="Electronics|HomeTheater,TV&amp;Video|Televisions|SmartTelevisions"/>
    <n v="18999"/>
    <n v="35000"/>
    <x v="18"/>
    <x v="1"/>
    <x v="212"/>
  </r>
  <r>
    <x v="287"/>
    <x v="287"/>
    <x v="61"/>
    <x v="0"/>
    <s v="Computers&amp;Accessories|Accessories&amp;Peripherals|Cables&amp;Accessories|Cables|USBCables"/>
    <n v="249"/>
    <n v="999"/>
    <x v="43"/>
    <x v="4"/>
    <x v="213"/>
  </r>
  <r>
    <x v="288"/>
    <x v="288"/>
    <x v="53"/>
    <x v="5"/>
    <s v="Electronics|HomeTheater,TV&amp;Video|Televisions|StandardTelevisions"/>
    <n v="7999"/>
    <n v="15999"/>
    <x v="8"/>
    <x v="11"/>
    <x v="214"/>
  </r>
  <r>
    <x v="289"/>
    <x v="289"/>
    <x v="8"/>
    <x v="0"/>
    <s v="Computers&amp;Accessories|Accessories&amp;Peripherals|Cables&amp;Accessories|Cables|USBCables"/>
    <n v="649"/>
    <n v="1600"/>
    <x v="53"/>
    <x v="4"/>
    <x v="138"/>
  </r>
  <r>
    <x v="290"/>
    <x v="79"/>
    <x v="32"/>
    <x v="4"/>
    <s v="Electronics|HomeTheater,TV&amp;Video|Accessories|RemoteControls"/>
    <n v="1289"/>
    <n v="2499"/>
    <x v="61"/>
    <x v="8"/>
    <x v="215"/>
  </r>
  <r>
    <x v="291"/>
    <x v="290"/>
    <x v="8"/>
    <x v="2"/>
    <s v="Electronics|HomeTheater,TV&amp;Video|Accessories|Cables|HDMICables"/>
    <n v="609"/>
    <n v="1500"/>
    <x v="53"/>
    <x v="6"/>
    <x v="216"/>
  </r>
  <r>
    <x v="292"/>
    <x v="291"/>
    <x v="48"/>
    <x v="3"/>
    <s v="Electronics|HomeTheater,TV&amp;Video|Televisions|SmartTelevisions"/>
    <n v="32990"/>
    <n v="54990"/>
    <x v="54"/>
    <x v="3"/>
    <x v="217"/>
  </r>
  <r>
    <x v="293"/>
    <x v="292"/>
    <x v="87"/>
    <x v="2"/>
    <s v="Electronics|HomeTheater,TV&amp;Video|Accessories|Cables|HDMICables"/>
    <n v="599"/>
    <n v="1999"/>
    <x v="20"/>
    <x v="0"/>
    <x v="218"/>
  </r>
  <r>
    <x v="294"/>
    <x v="293"/>
    <x v="8"/>
    <x v="0"/>
    <s v="Computers&amp;Accessories|Accessories&amp;Peripherals|Cables&amp;Accessories|Cables|USBCables"/>
    <n v="349"/>
    <n v="899"/>
    <x v="4"/>
    <x v="3"/>
    <x v="219"/>
  </r>
  <r>
    <x v="295"/>
    <x v="294"/>
    <x v="53"/>
    <x v="3"/>
    <s v="Electronics|HomeTheater,TV&amp;Video|Televisions|SmartTelevisions"/>
    <n v="29999"/>
    <n v="50999"/>
    <x v="19"/>
    <x v="5"/>
    <x v="220"/>
  </r>
  <r>
    <x v="296"/>
    <x v="243"/>
    <x v="79"/>
    <x v="4"/>
    <s v="Electronics|HomeTheater,TV&amp;Video|Accessories|RemoteControls"/>
    <n v="199"/>
    <n v="399"/>
    <x v="8"/>
    <x v="0"/>
    <x v="185"/>
  </r>
  <r>
    <x v="297"/>
    <x v="295"/>
    <x v="20"/>
    <x v="4"/>
    <s v="Electronics|HomeTheater,TV&amp;Video|Accessories|RemoteControls"/>
    <n v="349"/>
    <n v="699"/>
    <x v="8"/>
    <x v="2"/>
    <x v="221"/>
  </r>
  <r>
    <x v="298"/>
    <x v="296"/>
    <x v="88"/>
    <x v="6"/>
    <s v="Electronics|HomeTheater,TV&amp;Video|Accessories|TVMounts,Stands&amp;Turntables|TVWall&amp;CeilingMounts"/>
    <n v="1850"/>
    <n v="4500"/>
    <x v="53"/>
    <x v="1"/>
    <x v="25"/>
  </r>
  <r>
    <x v="299"/>
    <x v="297"/>
    <x v="89"/>
    <x v="10"/>
    <s v="Electronics|HomeTheater,TV&amp;Video|Projectors"/>
    <n v="13990"/>
    <n v="28900"/>
    <x v="50"/>
    <x v="6"/>
    <x v="222"/>
  </r>
  <r>
    <x v="300"/>
    <x v="298"/>
    <x v="90"/>
    <x v="0"/>
    <s v="Computers&amp;Accessories|Accessories&amp;Peripherals|Cables&amp;Accessories|Cables|USBCables"/>
    <n v="129"/>
    <n v="449"/>
    <x v="58"/>
    <x v="7"/>
    <x v="223"/>
  </r>
  <r>
    <x v="301"/>
    <x v="299"/>
    <x v="11"/>
    <x v="2"/>
    <s v="Electronics|HomeTheater,TV&amp;Video|Accessories|Cables|HDMICables"/>
    <n v="379"/>
    <n v="999"/>
    <x v="33"/>
    <x v="0"/>
    <x v="22"/>
  </r>
  <r>
    <x v="302"/>
    <x v="300"/>
    <x v="91"/>
    <x v="2"/>
    <s v="Electronics|HomeTheater,TV&amp;Video|Accessories|Cables|HDMICables"/>
    <n v="185"/>
    <n v="499"/>
    <x v="11"/>
    <x v="0"/>
    <x v="224"/>
  </r>
  <r>
    <x v="303"/>
    <x v="301"/>
    <x v="92"/>
    <x v="1"/>
    <s v="Computers&amp;Accessories|NetworkingDevices|NetworkAdapters|WirelessUSBAdapters"/>
    <n v="218"/>
    <n v="999"/>
    <x v="38"/>
    <x v="0"/>
    <x v="225"/>
  </r>
  <r>
    <x v="304"/>
    <x v="302"/>
    <x v="93"/>
    <x v="0"/>
    <s v="Computers&amp;Accessories|Accessories&amp;Peripherals|Cables&amp;Accessories|Cables|USBCables"/>
    <n v="199"/>
    <n v="999"/>
    <x v="27"/>
    <x v="4"/>
    <x v="226"/>
  </r>
  <r>
    <x v="305"/>
    <x v="303"/>
    <x v="19"/>
    <x v="2"/>
    <s v="Electronics|HomeTheater,TV&amp;Video|Accessories|Cables|HDMICables"/>
    <n v="499"/>
    <n v="900"/>
    <x v="32"/>
    <x v="5"/>
    <x v="227"/>
  </r>
  <r>
    <x v="306"/>
    <x v="304"/>
    <x v="53"/>
    <x v="3"/>
    <s v="Electronics|HomeTheater,TV&amp;Video|Televisions|SmartTelevisions"/>
    <n v="26999"/>
    <n v="42999"/>
    <x v="42"/>
    <x v="0"/>
    <x v="228"/>
  </r>
  <r>
    <x v="307"/>
    <x v="305"/>
    <x v="94"/>
    <x v="6"/>
    <s v="Electronics|HomeTheater,TV&amp;Video|Accessories|TVMounts,Stands&amp;Turntables|TVWall&amp;CeilingMounts"/>
    <n v="893"/>
    <n v="1052"/>
    <x v="59"/>
    <x v="4"/>
    <x v="229"/>
  </r>
  <r>
    <x v="308"/>
    <x v="306"/>
    <x v="77"/>
    <x v="3"/>
    <s v="Electronics|HomeTheater,TV&amp;Video|Televisions|SmartTelevisions"/>
    <n v="10990"/>
    <n v="19990"/>
    <x v="32"/>
    <x v="7"/>
    <x v="230"/>
  </r>
  <r>
    <x v="309"/>
    <x v="307"/>
    <x v="95"/>
    <x v="0"/>
    <s v="Computers&amp;Accessories|Accessories&amp;Peripherals|Cables&amp;Accessories|Cables|USBCables"/>
    <n v="379"/>
    <n v="1099"/>
    <x v="46"/>
    <x v="4"/>
    <x v="231"/>
  </r>
  <r>
    <x v="310"/>
    <x v="308"/>
    <x v="6"/>
    <x v="3"/>
    <s v="Electronics|HomeTheater,TV&amp;Video|Televisions|SmartTelevisions"/>
    <n v="16999"/>
    <n v="25999"/>
    <x v="31"/>
    <x v="0"/>
    <x v="14"/>
  </r>
  <r>
    <x v="311"/>
    <x v="309"/>
    <x v="96"/>
    <x v="2"/>
    <s v="Electronics|HomeTheater,TV&amp;Video|Accessories|Cables|HDMICables"/>
    <n v="699"/>
    <n v="1899"/>
    <x v="11"/>
    <x v="5"/>
    <x v="232"/>
  </r>
  <r>
    <x v="312"/>
    <x v="310"/>
    <x v="97"/>
    <x v="18"/>
    <s v="Electronics|HomeTheater,TV&amp;Video|Accessories|3DGlasses"/>
    <n v="2699"/>
    <n v="3500"/>
    <x v="7"/>
    <x v="12"/>
    <x v="233"/>
  </r>
  <r>
    <x v="313"/>
    <x v="311"/>
    <x v="19"/>
    <x v="0"/>
    <s v="Computers&amp;Accessories|Accessories&amp;Peripherals|Cables&amp;Accessories|Cables|USBCables"/>
    <n v="129"/>
    <n v="599"/>
    <x v="38"/>
    <x v="3"/>
    <x v="234"/>
  </r>
  <r>
    <x v="314"/>
    <x v="312"/>
    <x v="95"/>
    <x v="0"/>
    <s v="Computers&amp;Accessories|Accessories&amp;Peripherals|Cables&amp;Accessories|Cables|USBCables"/>
    <n v="389"/>
    <n v="999"/>
    <x v="4"/>
    <x v="4"/>
    <x v="235"/>
  </r>
  <r>
    <x v="315"/>
    <x v="313"/>
    <x v="98"/>
    <x v="4"/>
    <s v="Electronics|HomeTheater,TV&amp;Video|Accessories|RemoteControls"/>
    <n v="246"/>
    <n v="600"/>
    <x v="53"/>
    <x v="0"/>
    <x v="236"/>
  </r>
  <r>
    <x v="316"/>
    <x v="314"/>
    <x v="99"/>
    <x v="0"/>
    <s v="Computers&amp;Accessories|Accessories&amp;Peripherals|Cables&amp;Accessories|Cables|USBCables"/>
    <n v="299"/>
    <n v="799"/>
    <x v="11"/>
    <x v="1"/>
    <x v="237"/>
  </r>
  <r>
    <x v="317"/>
    <x v="315"/>
    <x v="100"/>
    <x v="4"/>
    <s v="Electronics|HomeTheater,TV&amp;Video|Accessories|RemoteControls"/>
    <n v="247"/>
    <n v="399"/>
    <x v="16"/>
    <x v="2"/>
    <x v="238"/>
  </r>
  <r>
    <x v="318"/>
    <x v="316"/>
    <x v="20"/>
    <x v="4"/>
    <s v="Electronics|HomeTheater,TV&amp;Video|Accessories|RemoteControls"/>
    <n v="1369"/>
    <n v="2999"/>
    <x v="34"/>
    <x v="8"/>
    <x v="239"/>
  </r>
  <r>
    <x v="319"/>
    <x v="317"/>
    <x v="101"/>
    <x v="4"/>
    <s v="Electronics|HomeTheater,TV&amp;Video|Accessories|RemoteControls"/>
    <n v="199"/>
    <n v="499"/>
    <x v="13"/>
    <x v="11"/>
    <x v="240"/>
  </r>
  <r>
    <x v="320"/>
    <x v="318"/>
    <x v="102"/>
    <x v="2"/>
    <s v="Electronics|HomeTheater,TV&amp;Video|Accessories|Cables|HDMICables"/>
    <n v="299"/>
    <n v="599"/>
    <x v="8"/>
    <x v="1"/>
    <x v="241"/>
  </r>
  <r>
    <x v="321"/>
    <x v="319"/>
    <x v="6"/>
    <x v="3"/>
    <s v="Electronics|HomeTheater,TV&amp;Video|Televisions|SmartTelevisions"/>
    <n v="14999"/>
    <n v="14999"/>
    <x v="26"/>
    <x v="4"/>
    <x v="242"/>
  </r>
  <r>
    <x v="322"/>
    <x v="320"/>
    <x v="61"/>
    <x v="0"/>
    <s v="Computers&amp;Accessories|Accessories&amp;Peripherals|Cables&amp;Accessories|Cables|USBCables"/>
    <n v="299"/>
    <n v="699"/>
    <x v="48"/>
    <x v="2"/>
    <x v="243"/>
  </r>
  <r>
    <x v="323"/>
    <x v="321"/>
    <x v="30"/>
    <x v="3"/>
    <s v="Electronics|HomeTheater,TV&amp;Video|Televisions|SmartTelevisions"/>
    <n v="24990"/>
    <n v="51990"/>
    <x v="50"/>
    <x v="0"/>
    <x v="244"/>
  </r>
  <r>
    <x v="324"/>
    <x v="322"/>
    <x v="103"/>
    <x v="0"/>
    <s v="Computers&amp;Accessories|Accessories&amp;Peripherals|Cables&amp;Accessories|Cables|USBCables"/>
    <n v="249"/>
    <n v="999"/>
    <x v="43"/>
    <x v="15"/>
    <x v="210"/>
  </r>
  <r>
    <x v="325"/>
    <x v="323"/>
    <x v="15"/>
    <x v="3"/>
    <s v="Electronics|HomeTheater,TV&amp;Video|Televisions|SmartTelevisions"/>
    <n v="61999"/>
    <n v="69999"/>
    <x v="68"/>
    <x v="3"/>
    <x v="163"/>
  </r>
  <r>
    <x v="326"/>
    <x v="324"/>
    <x v="8"/>
    <x v="3"/>
    <s v="Electronics|HomeTheater,TV&amp;Video|Televisions|SmartTelevisions"/>
    <n v="24499"/>
    <n v="50000"/>
    <x v="24"/>
    <x v="2"/>
    <x v="245"/>
  </r>
  <r>
    <x v="327"/>
    <x v="325"/>
    <x v="53"/>
    <x v="3"/>
    <s v="Electronics|HomeTheater,TV&amp;Video|Televisions|SmartTelevisions"/>
    <n v="10499"/>
    <n v="19499"/>
    <x v="18"/>
    <x v="0"/>
    <x v="228"/>
  </r>
  <r>
    <x v="328"/>
    <x v="326"/>
    <x v="95"/>
    <x v="0"/>
    <s v="Computers&amp;Accessories|Accessories&amp;Peripherals|Cables&amp;Accessories|Cables|USBCables"/>
    <n v="349"/>
    <n v="999"/>
    <x v="6"/>
    <x v="4"/>
    <x v="235"/>
  </r>
  <r>
    <x v="329"/>
    <x v="327"/>
    <x v="23"/>
    <x v="4"/>
    <s v="Electronics|HomeTheater,TV&amp;Video|Accessories|RemoteControls"/>
    <n v="197"/>
    <n v="499"/>
    <x v="4"/>
    <x v="11"/>
    <x v="246"/>
  </r>
  <r>
    <x v="330"/>
    <x v="328"/>
    <x v="23"/>
    <x v="12"/>
    <s v="Electronics|HomeTheater,TV&amp;Video|SatelliteEquipment|SatelliteReceivers"/>
    <n v="1299"/>
    <n v="2499"/>
    <x v="61"/>
    <x v="4"/>
    <x v="247"/>
  </r>
  <r>
    <x v="331"/>
    <x v="329"/>
    <x v="104"/>
    <x v="0"/>
    <s v="Computers&amp;Accessories|Accessories&amp;Peripherals|Cables&amp;Accessories|Cables|USBCables"/>
    <n v="1519"/>
    <n v="1899"/>
    <x v="52"/>
    <x v="5"/>
    <x v="248"/>
  </r>
  <r>
    <x v="332"/>
    <x v="330"/>
    <x v="6"/>
    <x v="3"/>
    <s v="Electronics|HomeTheater,TV&amp;Video|Televisions|SmartTelevisions"/>
    <n v="46999"/>
    <n v="69999"/>
    <x v="9"/>
    <x v="4"/>
    <x v="176"/>
  </r>
  <r>
    <x v="333"/>
    <x v="331"/>
    <x v="61"/>
    <x v="0"/>
    <s v="Computers&amp;Accessories|Accessories&amp;Peripherals|Cables&amp;Accessories|Cables|USBCables"/>
    <n v="299"/>
    <n v="799"/>
    <x v="11"/>
    <x v="4"/>
    <x v="249"/>
  </r>
  <r>
    <x v="334"/>
    <x v="332"/>
    <x v="105"/>
    <x v="19"/>
    <s v="Electronics|WearableTechnology|SmartWatches"/>
    <n v="1799"/>
    <n v="19999"/>
    <x v="69"/>
    <x v="0"/>
    <x v="250"/>
  </r>
  <r>
    <x v="335"/>
    <x v="333"/>
    <x v="105"/>
    <x v="19"/>
    <s v="Electronics|WearableTechnology|SmartWatches"/>
    <n v="1998"/>
    <n v="9999"/>
    <x v="27"/>
    <x v="4"/>
    <x v="251"/>
  </r>
  <r>
    <x v="336"/>
    <x v="334"/>
    <x v="3"/>
    <x v="19"/>
    <s v="Electronics|WearableTechnology|SmartWatches"/>
    <n v="1999"/>
    <n v="7990"/>
    <x v="43"/>
    <x v="11"/>
    <x v="252"/>
  </r>
  <r>
    <x v="337"/>
    <x v="335"/>
    <x v="6"/>
    <x v="20"/>
    <s v="Electronics|Mobiles&amp;Accessories|MobileAccessories|Chargers|PowerBanks"/>
    <n v="2049"/>
    <n v="2199"/>
    <x v="20"/>
    <x v="4"/>
    <x v="253"/>
  </r>
  <r>
    <x v="338"/>
    <x v="336"/>
    <x v="25"/>
    <x v="21"/>
    <s v="Electronics|Mobiles&amp;Accessories|Smartphones&amp;BasicMobiles|Smartphones"/>
    <n v="6499"/>
    <n v="8999"/>
    <x v="28"/>
    <x v="1"/>
    <x v="254"/>
  </r>
  <r>
    <x v="339"/>
    <x v="337"/>
    <x v="15"/>
    <x v="21"/>
    <s v="Electronics|Mobiles&amp;Accessories|Smartphones&amp;BasicMobiles|Smartphones"/>
    <n v="28999"/>
    <n v="28999"/>
    <x v="26"/>
    <x v="4"/>
    <x v="255"/>
  </r>
  <r>
    <x v="340"/>
    <x v="338"/>
    <x v="15"/>
    <x v="21"/>
    <s v="Electronics|Mobiles&amp;Accessories|Smartphones&amp;BasicMobiles|Smartphones"/>
    <n v="28999"/>
    <n v="28999"/>
    <x v="26"/>
    <x v="4"/>
    <x v="255"/>
  </r>
  <r>
    <x v="341"/>
    <x v="339"/>
    <x v="25"/>
    <x v="21"/>
    <s v="Electronics|Mobiles&amp;Accessories|Smartphones&amp;BasicMobiles|Smartphones"/>
    <n v="6499"/>
    <n v="8999"/>
    <x v="28"/>
    <x v="1"/>
    <x v="254"/>
  </r>
  <r>
    <x v="342"/>
    <x v="340"/>
    <x v="25"/>
    <x v="21"/>
    <s v="Electronics|Mobiles&amp;Accessories|Smartphones&amp;BasicMobiles|Smartphones"/>
    <n v="6499"/>
    <n v="8999"/>
    <x v="28"/>
    <x v="1"/>
    <x v="254"/>
  </r>
  <r>
    <x v="343"/>
    <x v="341"/>
    <x v="106"/>
    <x v="22"/>
    <s v="Electronics|Accessories|MemoryCards|MicroSD"/>
    <n v="569"/>
    <n v="1000"/>
    <x v="1"/>
    <x v="5"/>
    <x v="256"/>
  </r>
  <r>
    <x v="344"/>
    <x v="342"/>
    <x v="107"/>
    <x v="19"/>
    <s v="Electronics|WearableTechnology|SmartWatches"/>
    <n v="1898"/>
    <n v="4999"/>
    <x v="33"/>
    <x v="3"/>
    <x v="257"/>
  </r>
  <r>
    <x v="345"/>
    <x v="343"/>
    <x v="108"/>
    <x v="23"/>
    <s v="Electronics|Mobiles&amp;Accessories|Smartphones&amp;BasicMobiles|BasicMobiles"/>
    <n v="1299"/>
    <n v="1599"/>
    <x v="70"/>
    <x v="1"/>
    <x v="258"/>
  </r>
  <r>
    <x v="346"/>
    <x v="344"/>
    <x v="3"/>
    <x v="19"/>
    <s v="Electronics|WearableTechnology|SmartWatches"/>
    <n v="1499"/>
    <n v="6990"/>
    <x v="71"/>
    <x v="2"/>
    <x v="259"/>
  </r>
  <r>
    <x v="347"/>
    <x v="345"/>
    <x v="109"/>
    <x v="24"/>
    <s v="Electronics|Headphones,Earbuds&amp;Accessories|Headphones|In-Ear"/>
    <n v="599"/>
    <n v="999"/>
    <x v="54"/>
    <x v="3"/>
    <x v="260"/>
  </r>
  <r>
    <x v="348"/>
    <x v="346"/>
    <x v="12"/>
    <x v="21"/>
    <s v="Electronics|Mobiles&amp;Accessories|Smartphones&amp;BasicMobiles|Smartphones"/>
    <n v="9499"/>
    <n v="11999"/>
    <x v="72"/>
    <x v="0"/>
    <x v="101"/>
  </r>
  <r>
    <x v="349"/>
    <x v="347"/>
    <x v="5"/>
    <x v="24"/>
    <s v="Electronics|Headphones,Earbuds&amp;Accessories|Headphones|In-Ear"/>
    <n v="599"/>
    <n v="2499"/>
    <x v="60"/>
    <x v="2"/>
    <x v="261"/>
  </r>
  <r>
    <x v="350"/>
    <x v="348"/>
    <x v="25"/>
    <x v="21"/>
    <s v="Electronics|Mobiles&amp;Accessories|Smartphones&amp;BasicMobiles|Smartphones"/>
    <n v="8999"/>
    <n v="11999"/>
    <x v="23"/>
    <x v="1"/>
    <x v="262"/>
  </r>
  <r>
    <x v="351"/>
    <x v="349"/>
    <x v="5"/>
    <x v="25"/>
    <s v="Electronics|Mobiles&amp;Accessories|MobileAccessories|Chargers|AutomobileChargers"/>
    <n v="349"/>
    <n v="1299"/>
    <x v="25"/>
    <x v="1"/>
    <x v="263"/>
  </r>
  <r>
    <x v="352"/>
    <x v="350"/>
    <x v="3"/>
    <x v="24"/>
    <s v="Electronics|Headphones,Earbuds&amp;Accessories|Headphones|In-Ear"/>
    <n v="349"/>
    <n v="999"/>
    <x v="6"/>
    <x v="3"/>
    <x v="264"/>
  </r>
  <r>
    <x v="353"/>
    <x v="351"/>
    <x v="106"/>
    <x v="22"/>
    <s v="Electronics|Accessories|MemoryCards|MicroSD"/>
    <n v="959"/>
    <n v="1800"/>
    <x v="41"/>
    <x v="5"/>
    <x v="256"/>
  </r>
  <r>
    <x v="354"/>
    <x v="352"/>
    <x v="12"/>
    <x v="21"/>
    <s v="Electronics|Mobiles&amp;Accessories|Smartphones&amp;BasicMobiles|Smartphones"/>
    <n v="9499"/>
    <n v="11999"/>
    <x v="72"/>
    <x v="0"/>
    <x v="101"/>
  </r>
  <r>
    <x v="355"/>
    <x v="353"/>
    <x v="6"/>
    <x v="20"/>
    <s v="Electronics|Mobiles&amp;Accessories|MobileAccessories|Chargers|PowerBanks"/>
    <n v="1499"/>
    <n v="2499"/>
    <x v="54"/>
    <x v="4"/>
    <x v="265"/>
  </r>
  <r>
    <x v="356"/>
    <x v="354"/>
    <x v="6"/>
    <x v="20"/>
    <s v="Electronics|Mobiles&amp;Accessories|MobileAccessories|Chargers|PowerBanks"/>
    <n v="1149"/>
    <n v="2199"/>
    <x v="61"/>
    <x v="4"/>
    <x v="253"/>
  </r>
  <r>
    <x v="357"/>
    <x v="355"/>
    <x v="110"/>
    <x v="26"/>
    <s v="Electronics|Mobiles&amp;Accessories|MobileAccessories|AutomobileAccessories|Cradles"/>
    <n v="349"/>
    <n v="999"/>
    <x v="6"/>
    <x v="2"/>
    <x v="266"/>
  </r>
  <r>
    <x v="358"/>
    <x v="356"/>
    <x v="12"/>
    <x v="27"/>
    <s v="Electronics|Mobiles&amp;Accessories|MobileAccessories|Chargers|WallChargers"/>
    <n v="1219"/>
    <n v="1699"/>
    <x v="28"/>
    <x v="5"/>
    <x v="267"/>
  </r>
  <r>
    <x v="359"/>
    <x v="357"/>
    <x v="107"/>
    <x v="19"/>
    <s v="Electronics|WearableTechnology|SmartWatches"/>
    <n v="1599"/>
    <n v="3999"/>
    <x v="13"/>
    <x v="1"/>
    <x v="268"/>
  </r>
  <r>
    <x v="360"/>
    <x v="358"/>
    <x v="105"/>
    <x v="19"/>
    <s v="Electronics|WearableTechnology|SmartWatches"/>
    <n v="1499"/>
    <n v="7999"/>
    <x v="73"/>
    <x v="0"/>
    <x v="269"/>
  </r>
  <r>
    <x v="361"/>
    <x v="359"/>
    <x v="12"/>
    <x v="21"/>
    <s v="Electronics|Mobiles&amp;Accessories|Smartphones&amp;BasicMobiles|Smartphones"/>
    <n v="18499"/>
    <n v="25999"/>
    <x v="56"/>
    <x v="3"/>
    <x v="270"/>
  </r>
  <r>
    <x v="362"/>
    <x v="360"/>
    <x v="106"/>
    <x v="22"/>
    <s v="Electronics|Accessories|MemoryCards|MicroSD"/>
    <n v="369"/>
    <n v="700"/>
    <x v="41"/>
    <x v="5"/>
    <x v="256"/>
  </r>
  <r>
    <x v="363"/>
    <x v="361"/>
    <x v="12"/>
    <x v="21"/>
    <s v="Electronics|Mobiles&amp;Accessories|Smartphones&amp;BasicMobiles|Smartphones"/>
    <n v="12999"/>
    <n v="17999"/>
    <x v="28"/>
    <x v="3"/>
    <x v="271"/>
  </r>
  <r>
    <x v="364"/>
    <x v="332"/>
    <x v="105"/>
    <x v="19"/>
    <s v="Electronics|WearableTechnology|SmartWatches"/>
    <n v="1799"/>
    <n v="19999"/>
    <x v="69"/>
    <x v="0"/>
    <x v="250"/>
  </r>
  <r>
    <x v="365"/>
    <x v="362"/>
    <x v="105"/>
    <x v="19"/>
    <s v="Electronics|WearableTechnology|SmartWatches"/>
    <n v="2199"/>
    <n v="9999"/>
    <x v="38"/>
    <x v="0"/>
    <x v="272"/>
  </r>
  <r>
    <x v="366"/>
    <x v="363"/>
    <x v="12"/>
    <x v="21"/>
    <s v="Electronics|Mobiles&amp;Accessories|Smartphones&amp;BasicMobiles|Smartphones"/>
    <n v="16999"/>
    <n v="24999"/>
    <x v="44"/>
    <x v="3"/>
    <x v="270"/>
  </r>
  <r>
    <x v="367"/>
    <x v="364"/>
    <x v="111"/>
    <x v="21"/>
    <s v="Electronics|Mobiles&amp;Accessories|Smartphones&amp;BasicMobiles|Smartphones"/>
    <n v="16499"/>
    <n v="20999"/>
    <x v="72"/>
    <x v="1"/>
    <x v="273"/>
  </r>
  <r>
    <x v="368"/>
    <x v="332"/>
    <x v="105"/>
    <x v="19"/>
    <s v="Electronics|WearableTechnology|SmartWatches"/>
    <n v="1799"/>
    <n v="19999"/>
    <x v="69"/>
    <x v="0"/>
    <x v="250"/>
  </r>
  <r>
    <x v="0"/>
    <x v="0"/>
    <x v="0"/>
    <x v="0"/>
    <s v="Computers&amp;Accessories|Accessories&amp;Peripherals|Cables&amp;Accessories|Cables|USBCables"/>
    <n v="399"/>
    <n v="1099"/>
    <x v="0"/>
    <x v="0"/>
    <x v="274"/>
  </r>
  <r>
    <x v="369"/>
    <x v="365"/>
    <x v="25"/>
    <x v="21"/>
    <s v="Electronics|Mobiles&amp;Accessories|Smartphones&amp;BasicMobiles|Smartphones"/>
    <n v="8499"/>
    <n v="10999"/>
    <x v="7"/>
    <x v="3"/>
    <x v="275"/>
  </r>
  <r>
    <x v="370"/>
    <x v="366"/>
    <x v="25"/>
    <x v="21"/>
    <s v="Electronics|Mobiles&amp;Accessories|Smartphones&amp;BasicMobiles|Smartphones"/>
    <n v="6499"/>
    <n v="8499"/>
    <x v="66"/>
    <x v="3"/>
    <x v="275"/>
  </r>
  <r>
    <x v="371"/>
    <x v="332"/>
    <x v="105"/>
    <x v="19"/>
    <s v="Electronics|WearableTechnology|SmartWatches"/>
    <n v="1799"/>
    <n v="19999"/>
    <x v="69"/>
    <x v="0"/>
    <x v="250"/>
  </r>
  <r>
    <x v="372"/>
    <x v="367"/>
    <x v="25"/>
    <x v="21"/>
    <s v="Electronics|Mobiles&amp;Accessories|Smartphones&amp;BasicMobiles|Smartphones"/>
    <n v="8999"/>
    <n v="11999"/>
    <x v="23"/>
    <x v="1"/>
    <x v="262"/>
  </r>
  <r>
    <x v="373"/>
    <x v="368"/>
    <x v="76"/>
    <x v="28"/>
    <s v="Electronics|Mobiles&amp;Accessories|MobileAccessories|Cables&amp;Adapters|OTGAdapters"/>
    <n v="139"/>
    <n v="495"/>
    <x v="22"/>
    <x v="4"/>
    <x v="276"/>
  </r>
  <r>
    <x v="374"/>
    <x v="369"/>
    <x v="105"/>
    <x v="19"/>
    <s v="Electronics|WearableTechnology|SmartWatches"/>
    <n v="3999"/>
    <n v="16999"/>
    <x v="60"/>
    <x v="4"/>
    <x v="277"/>
  </r>
  <r>
    <x v="375"/>
    <x v="370"/>
    <x v="107"/>
    <x v="19"/>
    <s v="Electronics|WearableTechnology|SmartWatches"/>
    <n v="2998"/>
    <n v="5999"/>
    <x v="8"/>
    <x v="3"/>
    <x v="278"/>
  </r>
  <r>
    <x v="1"/>
    <x v="1"/>
    <x v="1"/>
    <x v="0"/>
    <s v="Computers&amp;Accessories|Accessories&amp;Peripherals|Cables&amp;Accessories|Cables|USBCables"/>
    <n v="199"/>
    <n v="349"/>
    <x v="1"/>
    <x v="1"/>
    <x v="279"/>
  </r>
  <r>
    <x v="376"/>
    <x v="371"/>
    <x v="111"/>
    <x v="21"/>
    <s v="Electronics|Mobiles&amp;Accessories|Smartphones&amp;BasicMobiles|Smartphones"/>
    <n v="15499"/>
    <n v="18999"/>
    <x v="74"/>
    <x v="3"/>
    <x v="280"/>
  </r>
  <r>
    <x v="2"/>
    <x v="2"/>
    <x v="2"/>
    <x v="0"/>
    <s v="Computers&amp;Accessories|Accessories&amp;Peripherals|Cables&amp;Accessories|Cables|USBCables"/>
    <n v="199"/>
    <n v="999"/>
    <x v="27"/>
    <x v="2"/>
    <x v="2"/>
  </r>
  <r>
    <x v="377"/>
    <x v="332"/>
    <x v="105"/>
    <x v="19"/>
    <s v="Electronics|WearableTechnology|SmartWatches"/>
    <n v="1799"/>
    <n v="19999"/>
    <x v="69"/>
    <x v="0"/>
    <x v="250"/>
  </r>
  <r>
    <x v="378"/>
    <x v="372"/>
    <x v="25"/>
    <x v="21"/>
    <s v="Electronics|Mobiles&amp;Accessories|Smartphones&amp;BasicMobiles|Smartphones"/>
    <n v="8999"/>
    <n v="11999"/>
    <x v="23"/>
    <x v="1"/>
    <x v="262"/>
  </r>
  <r>
    <x v="379"/>
    <x v="373"/>
    <x v="10"/>
    <x v="25"/>
    <s v="Electronics|Mobiles&amp;Accessories|MobileAccessories|Chargers|AutomobileChargers"/>
    <n v="873"/>
    <n v="1699"/>
    <x v="75"/>
    <x v="5"/>
    <x v="281"/>
  </r>
  <r>
    <x v="380"/>
    <x v="374"/>
    <x v="57"/>
    <x v="21"/>
    <s v="Electronics|Mobiles&amp;Accessories|Smartphones&amp;BasicMobiles|Smartphones"/>
    <n v="12999"/>
    <n v="15999"/>
    <x v="70"/>
    <x v="0"/>
    <x v="282"/>
  </r>
  <r>
    <x v="381"/>
    <x v="375"/>
    <x v="17"/>
    <x v="29"/>
    <s v="Electronics|Mobiles&amp;Accessories|MobileAccessories|Photo&amp;VideoAccessories|Tripods"/>
    <n v="539"/>
    <n v="1599"/>
    <x v="46"/>
    <x v="11"/>
    <x v="283"/>
  </r>
  <r>
    <x v="382"/>
    <x v="333"/>
    <x v="105"/>
    <x v="19"/>
    <s v="Electronics|WearableTechnology|SmartWatches"/>
    <n v="1999"/>
    <n v="9999"/>
    <x v="27"/>
    <x v="4"/>
    <x v="251"/>
  </r>
  <r>
    <x v="383"/>
    <x v="376"/>
    <x v="112"/>
    <x v="21"/>
    <s v="Electronics|Mobiles&amp;Accessories|Smartphones&amp;BasicMobiles|Smartphones"/>
    <n v="15490"/>
    <n v="20990"/>
    <x v="55"/>
    <x v="0"/>
    <x v="284"/>
  </r>
  <r>
    <x v="384"/>
    <x v="377"/>
    <x v="25"/>
    <x v="21"/>
    <s v="Electronics|Mobiles&amp;Accessories|Smartphones&amp;BasicMobiles|Smartphones"/>
    <n v="19999"/>
    <n v="24999"/>
    <x v="52"/>
    <x v="2"/>
    <x v="285"/>
  </r>
  <r>
    <x v="385"/>
    <x v="378"/>
    <x v="12"/>
    <x v="27"/>
    <s v="Electronics|Mobiles&amp;Accessories|MobileAccessories|Chargers|WallChargers"/>
    <n v="1075"/>
    <n v="1699"/>
    <x v="42"/>
    <x v="5"/>
    <x v="286"/>
  </r>
  <r>
    <x v="386"/>
    <x v="379"/>
    <x v="57"/>
    <x v="24"/>
    <s v="Electronics|Headphones,Earbuds&amp;Accessories|Headphones|In-Ear"/>
    <n v="399"/>
    <n v="699"/>
    <x v="1"/>
    <x v="1"/>
    <x v="287"/>
  </r>
  <r>
    <x v="387"/>
    <x v="380"/>
    <x v="107"/>
    <x v="19"/>
    <s v="Electronics|WearableTechnology|SmartWatches"/>
    <n v="1999"/>
    <n v="3990"/>
    <x v="8"/>
    <x v="1"/>
    <x v="268"/>
  </r>
  <r>
    <x v="388"/>
    <x v="381"/>
    <x v="3"/>
    <x v="19"/>
    <s v="Electronics|WearableTechnology|SmartWatches"/>
    <n v="1999"/>
    <n v="7990"/>
    <x v="43"/>
    <x v="11"/>
    <x v="252"/>
  </r>
  <r>
    <x v="3"/>
    <x v="3"/>
    <x v="3"/>
    <x v="0"/>
    <s v="Computers&amp;Accessories|Accessories&amp;Peripherals|Cables&amp;Accessories|Cables|USBCables"/>
    <n v="329"/>
    <n v="699"/>
    <x v="3"/>
    <x v="0"/>
    <x v="288"/>
  </r>
  <r>
    <x v="389"/>
    <x v="382"/>
    <x v="111"/>
    <x v="21"/>
    <s v="Electronics|Mobiles&amp;Accessories|Smartphones&amp;BasicMobiles|Smartphones"/>
    <n v="28999"/>
    <n v="34999"/>
    <x v="49"/>
    <x v="5"/>
    <x v="289"/>
  </r>
  <r>
    <x v="390"/>
    <x v="383"/>
    <x v="3"/>
    <x v="19"/>
    <s v="Electronics|WearableTechnology|SmartWatches"/>
    <n v="2299"/>
    <n v="7990"/>
    <x v="58"/>
    <x v="0"/>
    <x v="290"/>
  </r>
  <r>
    <x v="391"/>
    <x v="384"/>
    <x v="113"/>
    <x v="30"/>
    <s v="Electronics|Mobiles&amp;Accessories|MobileAccessories|Photo&amp;VideoAccessories|SelfieSticks"/>
    <n v="399"/>
    <n v="1999"/>
    <x v="27"/>
    <x v="1"/>
    <x v="291"/>
  </r>
  <r>
    <x v="392"/>
    <x v="385"/>
    <x v="12"/>
    <x v="22"/>
    <s v="Electronics|Accessories|MemoryCards|MicroSD"/>
    <n v="1149"/>
    <n v="3999"/>
    <x v="58"/>
    <x v="4"/>
    <x v="292"/>
  </r>
  <r>
    <x v="393"/>
    <x v="386"/>
    <x v="4"/>
    <x v="27"/>
    <s v="Electronics|Mobiles&amp;Accessories|MobileAccessories|Chargers|WallChargers"/>
    <n v="529"/>
    <n v="1499"/>
    <x v="6"/>
    <x v="3"/>
    <x v="293"/>
  </r>
  <r>
    <x v="394"/>
    <x v="387"/>
    <x v="12"/>
    <x v="21"/>
    <s v="Electronics|Mobiles&amp;Accessories|Smartphones&amp;BasicMobiles|Smartphones"/>
    <n v="13999"/>
    <n v="19499"/>
    <x v="28"/>
    <x v="3"/>
    <x v="271"/>
  </r>
  <r>
    <x v="395"/>
    <x v="388"/>
    <x v="3"/>
    <x v="24"/>
    <s v="Electronics|Headphones,Earbuds&amp;Accessories|Headphones|In-Ear"/>
    <n v="379"/>
    <n v="999"/>
    <x v="33"/>
    <x v="3"/>
    <x v="264"/>
  </r>
  <r>
    <x v="396"/>
    <x v="389"/>
    <x v="111"/>
    <x v="21"/>
    <s v="Electronics|Mobiles&amp;Accessories|Smartphones&amp;BasicMobiles|Smartphones"/>
    <n v="13999"/>
    <n v="19999"/>
    <x v="76"/>
    <x v="3"/>
    <x v="280"/>
  </r>
  <r>
    <x v="397"/>
    <x v="390"/>
    <x v="105"/>
    <x v="19"/>
    <s v="Electronics|WearableTechnology|SmartWatches"/>
    <n v="3999"/>
    <n v="9999"/>
    <x v="13"/>
    <x v="5"/>
    <x v="215"/>
  </r>
  <r>
    <x v="5"/>
    <x v="5"/>
    <x v="5"/>
    <x v="0"/>
    <s v="Computers&amp;Accessories|Accessories&amp;Peripherals|Cables&amp;Accessories|Cables|USBCables"/>
    <n v="149"/>
    <n v="1000"/>
    <x v="5"/>
    <x v="2"/>
    <x v="294"/>
  </r>
  <r>
    <x v="398"/>
    <x v="391"/>
    <x v="114"/>
    <x v="31"/>
    <s v="Electronics|Mobiles&amp;Accessories|MobileAccessories|Stands"/>
    <n v="99"/>
    <n v="499"/>
    <x v="27"/>
    <x v="4"/>
    <x v="295"/>
  </r>
  <r>
    <x v="399"/>
    <x v="392"/>
    <x v="12"/>
    <x v="24"/>
    <s v="Electronics|Headphones,Earbuds&amp;Accessories|Headphones|In-Ear"/>
    <n v="4790"/>
    <n v="15990"/>
    <x v="20"/>
    <x v="1"/>
    <x v="296"/>
  </r>
  <r>
    <x v="400"/>
    <x v="393"/>
    <x v="15"/>
    <x v="21"/>
    <s v="Electronics|Mobiles&amp;Accessories|Smartphones&amp;BasicMobiles|Smartphones"/>
    <n v="33999"/>
    <n v="33999"/>
    <x v="26"/>
    <x v="4"/>
    <x v="255"/>
  </r>
  <r>
    <x v="401"/>
    <x v="394"/>
    <x v="2"/>
    <x v="32"/>
    <s v="Computers&amp;Accessories|Accessories&amp;Peripherals|Cables&amp;Accessories|CableConnectionProtectors"/>
    <n v="99"/>
    <n v="999"/>
    <x v="2"/>
    <x v="1"/>
    <x v="297"/>
  </r>
  <r>
    <x v="402"/>
    <x v="395"/>
    <x v="5"/>
    <x v="24"/>
    <s v="Electronics|Headphones,Earbuds&amp;Accessories|Headphones|In-Ear"/>
    <n v="299"/>
    <n v="1900"/>
    <x v="77"/>
    <x v="9"/>
    <x v="298"/>
  </r>
  <r>
    <x v="403"/>
    <x v="396"/>
    <x v="12"/>
    <x v="21"/>
    <s v="Electronics|Mobiles&amp;Accessories|Smartphones&amp;BasicMobiles|Smartphones"/>
    <n v="10999"/>
    <n v="14999"/>
    <x v="35"/>
    <x v="3"/>
    <x v="271"/>
  </r>
  <r>
    <x v="404"/>
    <x v="397"/>
    <x v="15"/>
    <x v="21"/>
    <s v="Electronics|Mobiles&amp;Accessories|Smartphones&amp;BasicMobiles|Smartphones"/>
    <n v="34999"/>
    <n v="38999"/>
    <x v="78"/>
    <x v="0"/>
    <x v="299"/>
  </r>
  <r>
    <x v="405"/>
    <x v="363"/>
    <x v="12"/>
    <x v="21"/>
    <s v="Electronics|Mobiles&amp;Accessories|Smartphones&amp;BasicMobiles|Smartphones"/>
    <n v="16999"/>
    <n v="24999"/>
    <x v="44"/>
    <x v="3"/>
    <x v="270"/>
  </r>
  <r>
    <x v="406"/>
    <x v="398"/>
    <x v="1"/>
    <x v="31"/>
    <s v="Electronics|Mobiles&amp;Accessories|MobileAccessories|Stands"/>
    <n v="199"/>
    <n v="499"/>
    <x v="13"/>
    <x v="3"/>
    <x v="300"/>
  </r>
  <r>
    <x v="407"/>
    <x v="399"/>
    <x v="1"/>
    <x v="20"/>
    <s v="Electronics|Mobiles&amp;Accessories|MobileAccessories|Chargers|PowerBanks"/>
    <n v="999"/>
    <n v="1599"/>
    <x v="16"/>
    <x v="1"/>
    <x v="301"/>
  </r>
  <r>
    <x v="408"/>
    <x v="400"/>
    <x v="108"/>
    <x v="23"/>
    <s v="Electronics|Mobiles&amp;Accessories|Smartphones&amp;BasicMobiles|BasicMobiles"/>
    <n v="1299"/>
    <n v="1599"/>
    <x v="70"/>
    <x v="1"/>
    <x v="258"/>
  </r>
  <r>
    <x v="409"/>
    <x v="401"/>
    <x v="5"/>
    <x v="24"/>
    <s v="Electronics|Headphones,Earbuds&amp;Accessories|Headphones|In-Ear"/>
    <n v="599"/>
    <n v="1800"/>
    <x v="29"/>
    <x v="12"/>
    <x v="302"/>
  </r>
  <r>
    <x v="410"/>
    <x v="402"/>
    <x v="12"/>
    <x v="22"/>
    <s v="Electronics|Accessories|MemoryCards|MicroSD"/>
    <n v="599"/>
    <n v="1899"/>
    <x v="45"/>
    <x v="4"/>
    <x v="292"/>
  </r>
  <r>
    <x v="411"/>
    <x v="403"/>
    <x v="1"/>
    <x v="20"/>
    <s v="Electronics|Mobiles&amp;Accessories|MobileAccessories|Chargers|PowerBanks"/>
    <n v="1799"/>
    <n v="2499"/>
    <x v="28"/>
    <x v="3"/>
    <x v="303"/>
  </r>
  <r>
    <x v="6"/>
    <x v="6"/>
    <x v="3"/>
    <x v="0"/>
    <s v="Computers&amp;Accessories|Accessories&amp;Peripherals|Cables&amp;Accessories|Cables|USBCables"/>
    <n v="176.63"/>
    <n v="499"/>
    <x v="6"/>
    <x v="3"/>
    <x v="304"/>
  </r>
  <r>
    <x v="412"/>
    <x v="404"/>
    <x v="12"/>
    <x v="21"/>
    <s v="Electronics|Mobiles&amp;Accessories|Smartphones&amp;BasicMobiles|Smartphones"/>
    <n v="10999"/>
    <n v="14999"/>
    <x v="35"/>
    <x v="3"/>
    <x v="271"/>
  </r>
  <r>
    <x v="413"/>
    <x v="405"/>
    <x v="3"/>
    <x v="19"/>
    <s v="Electronics|WearableTechnology|SmartWatches"/>
    <n v="2999"/>
    <n v="7990"/>
    <x v="33"/>
    <x v="3"/>
    <x v="305"/>
  </r>
  <r>
    <x v="414"/>
    <x v="406"/>
    <x v="3"/>
    <x v="19"/>
    <s v="Electronics|WearableTechnology|SmartWatches"/>
    <n v="1999"/>
    <n v="7990"/>
    <x v="43"/>
    <x v="11"/>
    <x v="252"/>
  </r>
  <r>
    <x v="415"/>
    <x v="407"/>
    <x v="6"/>
    <x v="27"/>
    <s v="Electronics|Mobiles&amp;Accessories|MobileAccessories|Chargers|WallChargers"/>
    <n v="649"/>
    <n v="999"/>
    <x v="31"/>
    <x v="0"/>
    <x v="306"/>
  </r>
  <r>
    <x v="416"/>
    <x v="387"/>
    <x v="12"/>
    <x v="21"/>
    <s v="Electronics|Mobiles&amp;Accessories|Smartphones&amp;BasicMobiles|Smartphones"/>
    <n v="13999"/>
    <n v="19499"/>
    <x v="28"/>
    <x v="3"/>
    <x v="271"/>
  </r>
  <r>
    <x v="417"/>
    <x v="408"/>
    <x v="34"/>
    <x v="33"/>
    <s v="Electronics|Mobiles&amp;Accessories|MobileAccessories|DÃ©cor"/>
    <n v="119"/>
    <n v="299"/>
    <x v="13"/>
    <x v="3"/>
    <x v="307"/>
  </r>
  <r>
    <x v="418"/>
    <x v="409"/>
    <x v="25"/>
    <x v="21"/>
    <s v="Electronics|Mobiles&amp;Accessories|Smartphones&amp;BasicMobiles|Smartphones"/>
    <n v="12999"/>
    <n v="17999"/>
    <x v="28"/>
    <x v="3"/>
    <x v="308"/>
  </r>
  <r>
    <x v="419"/>
    <x v="410"/>
    <x v="25"/>
    <x v="21"/>
    <s v="Electronics|Mobiles&amp;Accessories|Smartphones&amp;BasicMobiles|Smartphones"/>
    <n v="20999"/>
    <n v="26999"/>
    <x v="47"/>
    <x v="2"/>
    <x v="285"/>
  </r>
  <r>
    <x v="420"/>
    <x v="411"/>
    <x v="115"/>
    <x v="27"/>
    <s v="Electronics|Mobiles&amp;Accessories|MobileAccessories|Chargers|WallChargers"/>
    <n v="249"/>
    <n v="649"/>
    <x v="33"/>
    <x v="1"/>
    <x v="309"/>
  </r>
  <r>
    <x v="421"/>
    <x v="412"/>
    <x v="116"/>
    <x v="27"/>
    <s v="Electronics|Mobiles&amp;Accessories|MobileAccessories|Chargers|WallChargers"/>
    <n v="99"/>
    <n v="171"/>
    <x v="21"/>
    <x v="6"/>
    <x v="310"/>
  </r>
  <r>
    <x v="422"/>
    <x v="413"/>
    <x v="17"/>
    <x v="26"/>
    <s v="Electronics|Mobiles&amp;Accessories|MobileAccessories|AutomobileAccessories|Cradles"/>
    <n v="489"/>
    <n v="1999"/>
    <x v="60"/>
    <x v="1"/>
    <x v="311"/>
  </r>
  <r>
    <x v="423"/>
    <x v="414"/>
    <x v="117"/>
    <x v="22"/>
    <s v="Electronics|Accessories|MemoryCards|MicroSD"/>
    <n v="369"/>
    <n v="1600"/>
    <x v="36"/>
    <x v="1"/>
    <x v="312"/>
  </r>
  <r>
    <x v="424"/>
    <x v="415"/>
    <x v="111"/>
    <x v="21"/>
    <s v="Electronics|Mobiles&amp;Accessories|Smartphones&amp;BasicMobiles|Smartphones"/>
    <n v="15499"/>
    <n v="20999"/>
    <x v="55"/>
    <x v="3"/>
    <x v="280"/>
  </r>
  <r>
    <x v="425"/>
    <x v="416"/>
    <x v="111"/>
    <x v="21"/>
    <s v="Electronics|Mobiles&amp;Accessories|Smartphones&amp;BasicMobiles|Smartphones"/>
    <n v="15499"/>
    <n v="18999"/>
    <x v="74"/>
    <x v="3"/>
    <x v="280"/>
  </r>
  <r>
    <x v="426"/>
    <x v="417"/>
    <x v="25"/>
    <x v="21"/>
    <s v="Electronics|Mobiles&amp;Accessories|Smartphones&amp;BasicMobiles|Smartphones"/>
    <n v="22999"/>
    <n v="28999"/>
    <x v="72"/>
    <x v="2"/>
    <x v="285"/>
  </r>
  <r>
    <x v="427"/>
    <x v="418"/>
    <x v="3"/>
    <x v="24"/>
    <s v="Electronics|Headphones,Earbuds&amp;Accessories|Headphones|In-Ear"/>
    <n v="599"/>
    <n v="1490"/>
    <x v="13"/>
    <x v="3"/>
    <x v="313"/>
  </r>
  <r>
    <x v="428"/>
    <x v="419"/>
    <x v="4"/>
    <x v="31"/>
    <s v="Electronics|Mobiles&amp;Accessories|MobileAccessories|Stands"/>
    <n v="134"/>
    <n v="699"/>
    <x v="73"/>
    <x v="3"/>
    <x v="314"/>
  </r>
  <r>
    <x v="429"/>
    <x v="420"/>
    <x v="57"/>
    <x v="21"/>
    <s v="Electronics|Mobiles&amp;Accessories|Smartphones&amp;BasicMobiles|Smartphones"/>
    <n v="7499"/>
    <n v="7999"/>
    <x v="13"/>
    <x v="1"/>
    <x v="315"/>
  </r>
  <r>
    <x v="430"/>
    <x v="421"/>
    <x v="6"/>
    <x v="20"/>
    <s v="Electronics|Mobiles&amp;Accessories|MobileAccessories|Chargers|PowerBanks"/>
    <n v="1149"/>
    <n v="2199"/>
    <x v="61"/>
    <x v="4"/>
    <x v="253"/>
  </r>
  <r>
    <x v="431"/>
    <x v="422"/>
    <x v="108"/>
    <x v="23"/>
    <s v="Electronics|Mobiles&amp;Accessories|Smartphones&amp;BasicMobiles|BasicMobiles"/>
    <n v="1324"/>
    <n v="1699"/>
    <x v="47"/>
    <x v="1"/>
    <x v="258"/>
  </r>
  <r>
    <x v="432"/>
    <x v="423"/>
    <x v="111"/>
    <x v="21"/>
    <s v="Electronics|Mobiles&amp;Accessories|Smartphones&amp;BasicMobiles|Smartphones"/>
    <n v="13999"/>
    <n v="19999"/>
    <x v="76"/>
    <x v="3"/>
    <x v="280"/>
  </r>
  <r>
    <x v="11"/>
    <x v="11"/>
    <x v="3"/>
    <x v="0"/>
    <s v="Computers&amp;Accessories|Accessories&amp;Peripherals|Cables&amp;Accessories|Cables|USBCables"/>
    <n v="299"/>
    <n v="799"/>
    <x v="11"/>
    <x v="0"/>
    <x v="288"/>
  </r>
  <r>
    <x v="433"/>
    <x v="424"/>
    <x v="1"/>
    <x v="20"/>
    <s v="Electronics|Mobiles&amp;Accessories|MobileAccessories|Chargers|PowerBanks"/>
    <n v="999"/>
    <n v="1599"/>
    <x v="16"/>
    <x v="1"/>
    <x v="301"/>
  </r>
  <r>
    <x v="434"/>
    <x v="425"/>
    <x v="12"/>
    <x v="21"/>
    <s v="Electronics|Mobiles&amp;Accessories|Smartphones&amp;BasicMobiles|Smartphones"/>
    <n v="12999"/>
    <n v="17999"/>
    <x v="28"/>
    <x v="3"/>
    <x v="271"/>
  </r>
  <r>
    <x v="435"/>
    <x v="426"/>
    <x v="112"/>
    <x v="21"/>
    <s v="Electronics|Mobiles&amp;Accessories|Smartphones&amp;BasicMobiles|Smartphones"/>
    <n v="15490"/>
    <n v="20990"/>
    <x v="55"/>
    <x v="0"/>
    <x v="284"/>
  </r>
  <r>
    <x v="436"/>
    <x v="427"/>
    <x v="118"/>
    <x v="34"/>
    <s v="Electronics|Mobiles&amp;Accessories|MobileAccessories|Maintenance,Upkeep&amp;Repairs|ScreenProtectors"/>
    <n v="999"/>
    <n v="2899"/>
    <x v="46"/>
    <x v="13"/>
    <x v="316"/>
  </r>
  <r>
    <x v="437"/>
    <x v="428"/>
    <x v="107"/>
    <x v="19"/>
    <s v="Electronics|WearableTechnology|SmartWatches"/>
    <n v="1599"/>
    <n v="4999"/>
    <x v="45"/>
    <x v="1"/>
    <x v="317"/>
  </r>
  <r>
    <x v="438"/>
    <x v="429"/>
    <x v="108"/>
    <x v="23"/>
    <s v="Electronics|Mobiles&amp;Accessories|Smartphones&amp;BasicMobiles|BasicMobiles"/>
    <n v="1324"/>
    <n v="1699"/>
    <x v="47"/>
    <x v="1"/>
    <x v="258"/>
  </r>
  <r>
    <x v="439"/>
    <x v="430"/>
    <x v="111"/>
    <x v="21"/>
    <s v="Electronics|Mobiles&amp;Accessories|Smartphones&amp;BasicMobiles|Smartphones"/>
    <n v="20999"/>
    <n v="29990"/>
    <x v="76"/>
    <x v="4"/>
    <x v="318"/>
  </r>
  <r>
    <x v="440"/>
    <x v="431"/>
    <x v="6"/>
    <x v="27"/>
    <s v="Electronics|Mobiles&amp;Accessories|MobileAccessories|Chargers|WallChargers"/>
    <n v="999"/>
    <n v="1999"/>
    <x v="8"/>
    <x v="4"/>
    <x v="319"/>
  </r>
  <r>
    <x v="441"/>
    <x v="432"/>
    <x v="112"/>
    <x v="21"/>
    <s v="Electronics|Mobiles&amp;Accessories|Smartphones&amp;BasicMobiles|Smartphones"/>
    <n v="12490"/>
    <n v="15990"/>
    <x v="47"/>
    <x v="0"/>
    <x v="320"/>
  </r>
  <r>
    <x v="442"/>
    <x v="433"/>
    <x v="111"/>
    <x v="21"/>
    <s v="Electronics|Mobiles&amp;Accessories|Smartphones&amp;BasicMobiles|Smartphones"/>
    <n v="17999"/>
    <n v="21990"/>
    <x v="74"/>
    <x v="1"/>
    <x v="273"/>
  </r>
  <r>
    <x v="13"/>
    <x v="13"/>
    <x v="4"/>
    <x v="0"/>
    <s v="Computers&amp;Accessories|Accessories&amp;Peripherals|Cables&amp;Accessories|Cables|USBCables"/>
    <n v="350"/>
    <n v="899"/>
    <x v="4"/>
    <x v="0"/>
    <x v="321"/>
  </r>
  <r>
    <x v="443"/>
    <x v="434"/>
    <x v="119"/>
    <x v="23"/>
    <s v="Electronics|Mobiles&amp;Accessories|Smartphones&amp;BasicMobiles|BasicMobiles"/>
    <n v="1399"/>
    <n v="1630"/>
    <x v="79"/>
    <x v="1"/>
    <x v="20"/>
  </r>
  <r>
    <x v="444"/>
    <x v="435"/>
    <x v="3"/>
    <x v="19"/>
    <s v="Electronics|WearableTechnology|SmartWatches"/>
    <n v="1499"/>
    <n v="6990"/>
    <x v="71"/>
    <x v="2"/>
    <x v="259"/>
  </r>
  <r>
    <x v="445"/>
    <x v="436"/>
    <x v="3"/>
    <x v="19"/>
    <s v="Electronics|WearableTechnology|SmartWatches"/>
    <n v="1999"/>
    <n v="7990"/>
    <x v="43"/>
    <x v="11"/>
    <x v="322"/>
  </r>
  <r>
    <x v="446"/>
    <x v="437"/>
    <x v="118"/>
    <x v="34"/>
    <s v="Electronics|Mobiles&amp;Accessories|MobileAccessories|Maintenance,Upkeep&amp;Repairs|ScreenProtectors"/>
    <n v="999"/>
    <n v="2899"/>
    <x v="46"/>
    <x v="16"/>
    <x v="323"/>
  </r>
  <r>
    <x v="447"/>
    <x v="438"/>
    <x v="120"/>
    <x v="35"/>
    <s v="Electronics|Mobiles&amp;Accessories|MobileAccessories|StylusPens"/>
    <n v="2099"/>
    <n v="5999"/>
    <x v="6"/>
    <x v="4"/>
    <x v="324"/>
  </r>
  <r>
    <x v="448"/>
    <x v="439"/>
    <x v="4"/>
    <x v="25"/>
    <s v="Electronics|Mobiles&amp;Accessories|MobileAccessories|Chargers|AutomobileChargers"/>
    <n v="337"/>
    <n v="699"/>
    <x v="50"/>
    <x v="0"/>
    <x v="325"/>
  </r>
  <r>
    <x v="449"/>
    <x v="440"/>
    <x v="3"/>
    <x v="19"/>
    <s v="Electronics|WearableTechnology|SmartWatches"/>
    <n v="2999"/>
    <n v="7990"/>
    <x v="33"/>
    <x v="3"/>
    <x v="326"/>
  </r>
  <r>
    <x v="450"/>
    <x v="441"/>
    <x v="5"/>
    <x v="19"/>
    <s v="Electronics|WearableTechnology|SmartWatches"/>
    <n v="1299"/>
    <n v="5999"/>
    <x v="38"/>
    <x v="8"/>
    <x v="327"/>
  </r>
  <r>
    <x v="451"/>
    <x v="442"/>
    <x v="111"/>
    <x v="21"/>
    <s v="Electronics|Mobiles&amp;Accessories|Smartphones&amp;BasicMobiles|Smartphones"/>
    <n v="16499"/>
    <n v="20990"/>
    <x v="72"/>
    <x v="1"/>
    <x v="273"/>
  </r>
  <r>
    <x v="452"/>
    <x v="443"/>
    <x v="12"/>
    <x v="24"/>
    <s v="Electronics|Headphones,Earbuds&amp;Accessories|Headphones|In-Ear"/>
    <n v="499"/>
    <n v="499"/>
    <x v="26"/>
    <x v="0"/>
    <x v="328"/>
  </r>
  <r>
    <x v="453"/>
    <x v="444"/>
    <x v="118"/>
    <x v="34"/>
    <s v="Electronics|Mobiles&amp;Accessories|MobileAccessories|Maintenance,Upkeep&amp;Repairs|ScreenProtectors"/>
    <n v="999"/>
    <n v="2899"/>
    <x v="46"/>
    <x v="13"/>
    <x v="329"/>
  </r>
  <r>
    <x v="454"/>
    <x v="445"/>
    <x v="12"/>
    <x v="21"/>
    <s v="Electronics|Mobiles&amp;Accessories|Smartphones&amp;BasicMobiles|Smartphones"/>
    <n v="10499"/>
    <n v="13499"/>
    <x v="47"/>
    <x v="0"/>
    <x v="101"/>
  </r>
  <r>
    <x v="455"/>
    <x v="446"/>
    <x v="31"/>
    <x v="36"/>
    <s v="Electronics|Mobiles&amp;Accessories|MobileAccessories|Mounts|Bedstand&amp;DeskMounts"/>
    <n v="251"/>
    <n v="999"/>
    <x v="43"/>
    <x v="7"/>
    <x v="330"/>
  </r>
  <r>
    <x v="456"/>
    <x v="447"/>
    <x v="25"/>
    <x v="21"/>
    <s v="Electronics|Mobiles&amp;Accessories|Smartphones&amp;BasicMobiles|Smartphones"/>
    <n v="6499"/>
    <n v="7999"/>
    <x v="70"/>
    <x v="3"/>
    <x v="331"/>
  </r>
  <r>
    <x v="457"/>
    <x v="448"/>
    <x v="105"/>
    <x v="19"/>
    <s v="Electronics|WearableTechnology|SmartWatches"/>
    <n v="2999"/>
    <n v="9999"/>
    <x v="20"/>
    <x v="0"/>
    <x v="332"/>
  </r>
  <r>
    <x v="458"/>
    <x v="449"/>
    <x v="121"/>
    <x v="37"/>
    <s v="Electronics|Mobiles&amp;Accessories|MobileAccessories|Cases&amp;Covers|BasicCases"/>
    <n v="279"/>
    <n v="1499"/>
    <x v="73"/>
    <x v="0"/>
    <x v="333"/>
  </r>
  <r>
    <x v="459"/>
    <x v="450"/>
    <x v="110"/>
    <x v="31"/>
    <s v="Electronics|Mobiles&amp;Accessories|MobileAccessories|Stands"/>
    <n v="269"/>
    <n v="1499"/>
    <x v="62"/>
    <x v="6"/>
    <x v="334"/>
  </r>
  <r>
    <x v="460"/>
    <x v="451"/>
    <x v="122"/>
    <x v="21"/>
    <s v="Electronics|Mobiles&amp;Accessories|Smartphones&amp;BasicMobiles|Smartphones"/>
    <n v="8999"/>
    <n v="13499"/>
    <x v="9"/>
    <x v="11"/>
    <x v="335"/>
  </r>
  <r>
    <x v="23"/>
    <x v="23"/>
    <x v="13"/>
    <x v="0"/>
    <s v="Computers&amp;Accessories|Accessories&amp;Peripherals|Cables&amp;Accessories|Cables|USBCables"/>
    <n v="59"/>
    <n v="199"/>
    <x v="20"/>
    <x v="1"/>
    <x v="336"/>
  </r>
  <r>
    <x v="461"/>
    <x v="452"/>
    <x v="109"/>
    <x v="24"/>
    <s v="Electronics|Headphones,Earbuds&amp;Accessories|Headphones|In-Ear"/>
    <n v="599"/>
    <n v="1299"/>
    <x v="34"/>
    <x v="3"/>
    <x v="337"/>
  </r>
  <r>
    <x v="462"/>
    <x v="453"/>
    <x v="123"/>
    <x v="35"/>
    <s v="Electronics|Mobiles&amp;Accessories|MobileAccessories|StylusPens"/>
    <n v="349"/>
    <n v="999"/>
    <x v="6"/>
    <x v="11"/>
    <x v="338"/>
  </r>
  <r>
    <x v="463"/>
    <x v="387"/>
    <x v="12"/>
    <x v="21"/>
    <s v="Electronics|Mobiles&amp;Accessories|Smartphones&amp;BasicMobiles|Smartphones"/>
    <n v="13999"/>
    <n v="19499"/>
    <x v="28"/>
    <x v="3"/>
    <x v="271"/>
  </r>
  <r>
    <x v="464"/>
    <x v="454"/>
    <x v="123"/>
    <x v="35"/>
    <s v="Electronics|Mobiles&amp;Accessories|MobileAccessories|StylusPens"/>
    <n v="349"/>
    <n v="999"/>
    <x v="6"/>
    <x v="11"/>
    <x v="338"/>
  </r>
  <r>
    <x v="465"/>
    <x v="455"/>
    <x v="6"/>
    <x v="27"/>
    <s v="Electronics|Mobiles&amp;Accessories|MobileAccessories|Chargers|WallChargers"/>
    <n v="499"/>
    <n v="599"/>
    <x v="49"/>
    <x v="0"/>
    <x v="339"/>
  </r>
  <r>
    <x v="466"/>
    <x v="362"/>
    <x v="105"/>
    <x v="19"/>
    <s v="Electronics|WearableTechnology|SmartWatches"/>
    <n v="2199"/>
    <n v="9999"/>
    <x v="38"/>
    <x v="0"/>
    <x v="340"/>
  </r>
  <r>
    <x v="467"/>
    <x v="456"/>
    <x v="114"/>
    <x v="33"/>
    <s v="Electronics|Mobiles&amp;Accessories|MobileAccessories|DÃ©cor"/>
    <n v="95"/>
    <n v="499"/>
    <x v="73"/>
    <x v="0"/>
    <x v="341"/>
  </r>
  <r>
    <x v="468"/>
    <x v="457"/>
    <x v="13"/>
    <x v="0"/>
    <s v="Computers&amp;Accessories|Accessories&amp;Peripherals|Cables&amp;Accessories|Cables|USBCables"/>
    <n v="139"/>
    <n v="249"/>
    <x v="15"/>
    <x v="1"/>
    <x v="336"/>
  </r>
  <r>
    <x v="469"/>
    <x v="458"/>
    <x v="107"/>
    <x v="19"/>
    <s v="Electronics|WearableTechnology|SmartWatches"/>
    <n v="4499"/>
    <n v="7999"/>
    <x v="15"/>
    <x v="12"/>
    <x v="95"/>
  </r>
  <r>
    <x v="470"/>
    <x v="459"/>
    <x v="110"/>
    <x v="31"/>
    <s v="Electronics|Mobiles&amp;Accessories|MobileAccessories|Stands"/>
    <n v="89"/>
    <n v="599"/>
    <x v="5"/>
    <x v="4"/>
    <x v="342"/>
  </r>
  <r>
    <x v="471"/>
    <x v="460"/>
    <x v="111"/>
    <x v="21"/>
    <s v="Electronics|Mobiles&amp;Accessories|Smartphones&amp;BasicMobiles|Smartphones"/>
    <n v="15499"/>
    <n v="20999"/>
    <x v="55"/>
    <x v="3"/>
    <x v="343"/>
  </r>
  <r>
    <x v="472"/>
    <x v="461"/>
    <x v="25"/>
    <x v="21"/>
    <s v="Electronics|Mobiles&amp;Accessories|Smartphones&amp;BasicMobiles|Smartphones"/>
    <n v="13999"/>
    <n v="15999"/>
    <x v="14"/>
    <x v="2"/>
    <x v="344"/>
  </r>
  <r>
    <x v="473"/>
    <x v="462"/>
    <x v="107"/>
    <x v="19"/>
    <s v="Electronics|WearableTechnology|SmartWatches"/>
    <n v="1999"/>
    <n v="4999"/>
    <x v="13"/>
    <x v="2"/>
    <x v="345"/>
  </r>
  <r>
    <x v="474"/>
    <x v="463"/>
    <x v="5"/>
    <x v="19"/>
    <s v="Electronics|WearableTechnology|SmartWatches"/>
    <n v="1399"/>
    <n v="5999"/>
    <x v="36"/>
    <x v="8"/>
    <x v="327"/>
  </r>
  <r>
    <x v="475"/>
    <x v="464"/>
    <x v="4"/>
    <x v="26"/>
    <s v="Electronics|Mobiles&amp;Accessories|MobileAccessories|AutomobileAccessories|Cradles"/>
    <n v="599"/>
    <n v="999"/>
    <x v="54"/>
    <x v="1"/>
    <x v="346"/>
  </r>
  <r>
    <x v="476"/>
    <x v="465"/>
    <x v="5"/>
    <x v="27"/>
    <s v="Electronics|Mobiles&amp;Accessories|MobileAccessories|Chargers|WallChargers"/>
    <n v="199"/>
    <n v="1099"/>
    <x v="62"/>
    <x v="1"/>
    <x v="347"/>
  </r>
  <r>
    <x v="477"/>
    <x v="466"/>
    <x v="3"/>
    <x v="19"/>
    <s v="Electronics|WearableTechnology|SmartWatches"/>
    <n v="1799"/>
    <n v="6990"/>
    <x v="80"/>
    <x v="1"/>
    <x v="348"/>
  </r>
  <r>
    <x v="478"/>
    <x v="467"/>
    <x v="3"/>
    <x v="19"/>
    <s v="Electronics|WearableTechnology|SmartWatches"/>
    <n v="1499"/>
    <n v="6990"/>
    <x v="71"/>
    <x v="2"/>
    <x v="259"/>
  </r>
  <r>
    <x v="479"/>
    <x v="468"/>
    <x v="111"/>
    <x v="21"/>
    <s v="Electronics|Mobiles&amp;Accessories|Smartphones&amp;BasicMobiles|Smartphones"/>
    <n v="20999"/>
    <n v="29990"/>
    <x v="76"/>
    <x v="4"/>
    <x v="318"/>
  </r>
  <r>
    <x v="480"/>
    <x v="469"/>
    <x v="12"/>
    <x v="21"/>
    <s v="Electronics|Mobiles&amp;Accessories|Smartphones&amp;BasicMobiles|Smartphones"/>
    <n v="12999"/>
    <n v="13499"/>
    <x v="54"/>
    <x v="3"/>
    <x v="349"/>
  </r>
  <r>
    <x v="481"/>
    <x v="470"/>
    <x v="25"/>
    <x v="21"/>
    <s v="Electronics|Mobiles&amp;Accessories|Smartphones&amp;BasicMobiles|Smartphones"/>
    <n v="16999"/>
    <n v="20999"/>
    <x v="70"/>
    <x v="3"/>
    <x v="350"/>
  </r>
  <r>
    <x v="482"/>
    <x v="471"/>
    <x v="111"/>
    <x v="21"/>
    <s v="Electronics|Mobiles&amp;Accessories|Smartphones&amp;BasicMobiles|Smartphones"/>
    <n v="19999"/>
    <n v="27990"/>
    <x v="56"/>
    <x v="4"/>
    <x v="318"/>
  </r>
  <r>
    <x v="483"/>
    <x v="472"/>
    <x v="25"/>
    <x v="21"/>
    <s v="Electronics|Mobiles&amp;Accessories|Smartphones&amp;BasicMobiles|Smartphones"/>
    <n v="12999"/>
    <n v="18999"/>
    <x v="44"/>
    <x v="3"/>
    <x v="308"/>
  </r>
  <r>
    <x v="484"/>
    <x v="473"/>
    <x v="107"/>
    <x v="19"/>
    <s v="Electronics|WearableTechnology|SmartWatches"/>
    <n v="2999"/>
    <n v="5999"/>
    <x v="8"/>
    <x v="3"/>
    <x v="351"/>
  </r>
  <r>
    <x v="485"/>
    <x v="474"/>
    <x v="68"/>
    <x v="27"/>
    <s v="Electronics|Mobiles&amp;Accessories|MobileAccessories|Chargers|WallChargers"/>
    <n v="329"/>
    <n v="999"/>
    <x v="29"/>
    <x v="0"/>
    <x v="352"/>
  </r>
  <r>
    <x v="486"/>
    <x v="475"/>
    <x v="5"/>
    <x v="19"/>
    <s v="Electronics|WearableTechnology|SmartWatches"/>
    <n v="1299"/>
    <n v="5999"/>
    <x v="38"/>
    <x v="8"/>
    <x v="327"/>
  </r>
  <r>
    <x v="487"/>
    <x v="476"/>
    <x v="106"/>
    <x v="22"/>
    <s v="Electronics|Accessories|MemoryCards|MicroSD"/>
    <n v="1989"/>
    <n v="3500"/>
    <x v="1"/>
    <x v="5"/>
    <x v="353"/>
  </r>
  <r>
    <x v="488"/>
    <x v="333"/>
    <x v="105"/>
    <x v="19"/>
    <s v="Electronics|WearableTechnology|SmartWatches"/>
    <n v="1999"/>
    <n v="9999"/>
    <x v="27"/>
    <x v="4"/>
    <x v="354"/>
  </r>
  <r>
    <x v="489"/>
    <x v="477"/>
    <x v="25"/>
    <x v="21"/>
    <s v="Electronics|Mobiles&amp;Accessories|Smartphones&amp;BasicMobiles|Smartphones"/>
    <n v="12999"/>
    <n v="18999"/>
    <x v="44"/>
    <x v="3"/>
    <x v="308"/>
  </r>
  <r>
    <x v="490"/>
    <x v="478"/>
    <x v="107"/>
    <x v="19"/>
    <s v="Electronics|WearableTechnology|SmartWatches"/>
    <n v="1499"/>
    <n v="4999"/>
    <x v="20"/>
    <x v="1"/>
    <x v="355"/>
  </r>
  <r>
    <x v="491"/>
    <x v="479"/>
    <x v="25"/>
    <x v="21"/>
    <s v="Electronics|Mobiles&amp;Accessories|Smartphones&amp;BasicMobiles|Smartphones"/>
    <n v="16999"/>
    <n v="20999"/>
    <x v="70"/>
    <x v="3"/>
    <x v="350"/>
  </r>
  <r>
    <x v="492"/>
    <x v="480"/>
    <x v="124"/>
    <x v="19"/>
    <s v="Electronics|WearableTechnology|SmartWatches"/>
    <n v="1999"/>
    <n v="8499"/>
    <x v="60"/>
    <x v="4"/>
    <x v="356"/>
  </r>
  <r>
    <x v="493"/>
    <x v="481"/>
    <x v="15"/>
    <x v="19"/>
    <s v="Electronics|WearableTechnology|SmartWatches"/>
    <n v="4999"/>
    <n v="6999"/>
    <x v="56"/>
    <x v="11"/>
    <x v="357"/>
  </r>
  <r>
    <x v="35"/>
    <x v="35"/>
    <x v="5"/>
    <x v="0"/>
    <s v="Computers&amp;Accessories|Accessories&amp;Peripherals|Cables&amp;Accessories|Cables|USBCables"/>
    <n v="99"/>
    <n v="666.66"/>
    <x v="5"/>
    <x v="2"/>
    <x v="294"/>
  </r>
  <r>
    <x v="494"/>
    <x v="482"/>
    <x v="107"/>
    <x v="19"/>
    <s v="Electronics|WearableTechnology|SmartWatches"/>
    <n v="2499"/>
    <n v="5999"/>
    <x v="30"/>
    <x v="7"/>
    <x v="358"/>
  </r>
  <r>
    <x v="495"/>
    <x v="483"/>
    <x v="119"/>
    <x v="23"/>
    <s v="Electronics|Mobiles&amp;Accessories|Smartphones&amp;BasicMobiles|BasicMobiles"/>
    <n v="1399"/>
    <n v="1630"/>
    <x v="79"/>
    <x v="1"/>
    <x v="20"/>
  </r>
  <r>
    <x v="496"/>
    <x v="484"/>
    <x v="105"/>
    <x v="19"/>
    <s v="Electronics|WearableTechnology|SmartWatches"/>
    <n v="1499"/>
    <n v="9999"/>
    <x v="5"/>
    <x v="0"/>
    <x v="359"/>
  </r>
  <r>
    <x v="497"/>
    <x v="485"/>
    <x v="13"/>
    <x v="27"/>
    <s v="Electronics|Mobiles&amp;Accessories|MobileAccessories|Chargers|WallChargers"/>
    <n v="249"/>
    <n v="599"/>
    <x v="30"/>
    <x v="2"/>
    <x v="360"/>
  </r>
  <r>
    <x v="498"/>
    <x v="486"/>
    <x v="125"/>
    <x v="34"/>
    <s v="Electronics|Mobiles&amp;Accessories|MobileAccessories|Maintenance,Upkeep&amp;Repairs|ScreenProtectors"/>
    <n v="299"/>
    <n v="1199"/>
    <x v="43"/>
    <x v="6"/>
    <x v="361"/>
  </r>
  <r>
    <x v="499"/>
    <x v="487"/>
    <x v="114"/>
    <x v="33"/>
    <s v="Electronics|Mobiles&amp;Accessories|MobileAccessories|DÃ©cor"/>
    <n v="79"/>
    <n v="499"/>
    <x v="77"/>
    <x v="0"/>
    <x v="341"/>
  </r>
  <r>
    <x v="500"/>
    <x v="488"/>
    <x v="25"/>
    <x v="21"/>
    <s v="Electronics|Mobiles&amp;Accessories|Smartphones&amp;BasicMobiles|Smartphones"/>
    <n v="13999"/>
    <n v="15999"/>
    <x v="14"/>
    <x v="2"/>
    <x v="344"/>
  </r>
  <r>
    <x v="501"/>
    <x v="489"/>
    <x v="12"/>
    <x v="24"/>
    <s v="Electronics|Headphones,Earbuds&amp;Accessories|Headphones|In-Ear"/>
    <n v="949"/>
    <n v="999"/>
    <x v="8"/>
    <x v="0"/>
    <x v="328"/>
  </r>
  <r>
    <x v="502"/>
    <x v="490"/>
    <x v="114"/>
    <x v="31"/>
    <s v="Electronics|Mobiles&amp;Accessories|MobileAccessories|Stands"/>
    <n v="99"/>
    <n v="499"/>
    <x v="27"/>
    <x v="3"/>
    <x v="362"/>
  </r>
  <r>
    <x v="503"/>
    <x v="491"/>
    <x v="3"/>
    <x v="19"/>
    <s v="Electronics|WearableTechnology|SmartWatches"/>
    <n v="2499"/>
    <n v="7990"/>
    <x v="12"/>
    <x v="3"/>
    <x v="326"/>
  </r>
  <r>
    <x v="504"/>
    <x v="492"/>
    <x v="17"/>
    <x v="38"/>
    <s v="Electronics|Mobiles&amp;Accessories|MobileAccessories|Mounts|HandlebarMounts"/>
    <n v="689"/>
    <n v="1999"/>
    <x v="46"/>
    <x v="4"/>
    <x v="127"/>
  </r>
  <r>
    <x v="505"/>
    <x v="493"/>
    <x v="2"/>
    <x v="36"/>
    <s v="Electronics|Mobiles&amp;Accessories|MobileAccessories|Mounts|Bedstand&amp;DeskMounts"/>
    <n v="499"/>
    <n v="1899"/>
    <x v="80"/>
    <x v="3"/>
    <x v="363"/>
  </r>
  <r>
    <x v="506"/>
    <x v="494"/>
    <x v="126"/>
    <x v="34"/>
    <s v="Electronics|Mobiles&amp;Accessories|MobileAccessories|Maintenance,Upkeep&amp;Repairs|ScreenProtectors"/>
    <n v="299"/>
    <n v="999"/>
    <x v="20"/>
    <x v="4"/>
    <x v="267"/>
  </r>
  <r>
    <x v="507"/>
    <x v="495"/>
    <x v="127"/>
    <x v="31"/>
    <s v="Electronics|Mobiles&amp;Accessories|MobileAccessories|Stands"/>
    <n v="209"/>
    <n v="499"/>
    <x v="30"/>
    <x v="9"/>
    <x v="364"/>
  </r>
  <r>
    <x v="508"/>
    <x v="496"/>
    <x v="122"/>
    <x v="21"/>
    <s v="Electronics|Mobiles&amp;Accessories|Smartphones&amp;BasicMobiles|Smartphones"/>
    <n v="8499"/>
    <n v="12999"/>
    <x v="31"/>
    <x v="3"/>
    <x v="365"/>
  </r>
  <r>
    <x v="509"/>
    <x v="497"/>
    <x v="128"/>
    <x v="20"/>
    <s v="Electronics|Mobiles&amp;Accessories|MobileAccessories|Chargers|PowerBanks"/>
    <n v="2179"/>
    <n v="3999"/>
    <x v="18"/>
    <x v="1"/>
    <x v="366"/>
  </r>
  <r>
    <x v="510"/>
    <x v="498"/>
    <x v="25"/>
    <x v="21"/>
    <s v="Electronics|Mobiles&amp;Accessories|Smartphones&amp;BasicMobiles|Smartphones"/>
    <n v="16999"/>
    <n v="20999"/>
    <x v="70"/>
    <x v="3"/>
    <x v="350"/>
  </r>
  <r>
    <x v="511"/>
    <x v="499"/>
    <x v="15"/>
    <x v="21"/>
    <s v="Electronics|Mobiles&amp;Accessories|Smartphones&amp;BasicMobiles|Smartphones"/>
    <n v="44999"/>
    <n v="49999"/>
    <x v="78"/>
    <x v="4"/>
    <x v="367"/>
  </r>
  <r>
    <x v="512"/>
    <x v="500"/>
    <x v="108"/>
    <x v="23"/>
    <s v="Electronics|Mobiles&amp;Accessories|Smartphones&amp;BasicMobiles|BasicMobiles"/>
    <n v="2599"/>
    <n v="2999"/>
    <x v="14"/>
    <x v="2"/>
    <x v="368"/>
  </r>
  <r>
    <x v="513"/>
    <x v="501"/>
    <x v="107"/>
    <x v="19"/>
    <s v="Electronics|WearableTechnology|SmartWatches"/>
    <n v="2799"/>
    <n v="6499"/>
    <x v="48"/>
    <x v="3"/>
    <x v="369"/>
  </r>
  <r>
    <x v="514"/>
    <x v="502"/>
    <x v="3"/>
    <x v="39"/>
    <s v="Electronics|Headphones,Earbuds&amp;Accessories|Headphones|On-Ear"/>
    <n v="1399"/>
    <n v="2990"/>
    <x v="3"/>
    <x v="3"/>
    <x v="370"/>
  </r>
  <r>
    <x v="515"/>
    <x v="503"/>
    <x v="106"/>
    <x v="22"/>
    <s v="Electronics|Accessories|MemoryCards|MicroSD"/>
    <n v="649"/>
    <n v="2400"/>
    <x v="25"/>
    <x v="5"/>
    <x v="353"/>
  </r>
  <r>
    <x v="516"/>
    <x v="504"/>
    <x v="129"/>
    <x v="27"/>
    <s v="Electronics|Mobiles&amp;Accessories|MobileAccessories|Chargers|WallChargers"/>
    <n v="799"/>
    <n v="3990"/>
    <x v="27"/>
    <x v="11"/>
    <x v="371"/>
  </r>
  <r>
    <x v="517"/>
    <x v="505"/>
    <x v="130"/>
    <x v="40"/>
    <s v="Computers&amp;Accessories|Accessories&amp;Peripherals|LaptopAccessories|CameraPrivacyCovers"/>
    <n v="149"/>
    <n v="149"/>
    <x v="26"/>
    <x v="4"/>
    <x v="372"/>
  </r>
  <r>
    <x v="518"/>
    <x v="506"/>
    <x v="108"/>
    <x v="23"/>
    <s v="Electronics|Mobiles&amp;Accessories|Smartphones&amp;BasicMobiles|BasicMobiles"/>
    <n v="3799"/>
    <n v="5299"/>
    <x v="28"/>
    <x v="12"/>
    <x v="373"/>
  </r>
  <r>
    <x v="519"/>
    <x v="507"/>
    <x v="2"/>
    <x v="37"/>
    <s v="Electronics|Mobiles&amp;Accessories|MobileAccessories|Cases&amp;Covers|BasicCases"/>
    <n v="199"/>
    <n v="1899"/>
    <x v="2"/>
    <x v="1"/>
    <x v="374"/>
  </r>
  <r>
    <x v="520"/>
    <x v="508"/>
    <x v="12"/>
    <x v="21"/>
    <s v="Electronics|Mobiles&amp;Accessories|Smartphones&amp;BasicMobiles|Smartphones"/>
    <n v="23999"/>
    <n v="32999"/>
    <x v="35"/>
    <x v="2"/>
    <x v="375"/>
  </r>
  <r>
    <x v="521"/>
    <x v="509"/>
    <x v="111"/>
    <x v="21"/>
    <s v="Electronics|Mobiles&amp;Accessories|Smartphones&amp;BasicMobiles|Smartphones"/>
    <n v="29990"/>
    <n v="39990"/>
    <x v="23"/>
    <x v="4"/>
    <x v="376"/>
  </r>
  <r>
    <x v="522"/>
    <x v="510"/>
    <x v="131"/>
    <x v="19"/>
    <s v="Electronics|WearableTechnology|SmartWatches"/>
    <n v="281"/>
    <n v="1999"/>
    <x v="40"/>
    <x v="18"/>
    <x v="226"/>
  </r>
  <r>
    <x v="523"/>
    <x v="511"/>
    <x v="132"/>
    <x v="21"/>
    <s v="Electronics|Mobiles&amp;Accessories|Smartphones&amp;BasicMobiles|Smartphones"/>
    <n v="7998"/>
    <n v="11999"/>
    <x v="9"/>
    <x v="11"/>
    <x v="377"/>
  </r>
  <r>
    <x v="524"/>
    <x v="512"/>
    <x v="133"/>
    <x v="19"/>
    <s v="Electronics|WearableTechnology|SmartWatches"/>
    <n v="249"/>
    <n v="999"/>
    <x v="43"/>
    <x v="6"/>
    <x v="378"/>
  </r>
  <r>
    <x v="525"/>
    <x v="513"/>
    <x v="67"/>
    <x v="34"/>
    <s v="Electronics|Mobiles&amp;Accessories|MobileAccessories|Maintenance,Upkeep&amp;Repairs|ScreenProtectors"/>
    <n v="299"/>
    <n v="599"/>
    <x v="8"/>
    <x v="4"/>
    <x v="379"/>
  </r>
  <r>
    <x v="526"/>
    <x v="514"/>
    <x v="134"/>
    <x v="19"/>
    <s v="Electronics|WearableTechnology|SmartWatches"/>
    <n v="499"/>
    <n v="1899"/>
    <x v="80"/>
    <x v="3"/>
    <x v="380"/>
  </r>
  <r>
    <x v="527"/>
    <x v="515"/>
    <x v="135"/>
    <x v="19"/>
    <s v="Electronics|WearableTechnology|SmartWatches"/>
    <n v="899"/>
    <n v="3499"/>
    <x v="80"/>
    <x v="17"/>
    <x v="381"/>
  </r>
  <r>
    <x v="528"/>
    <x v="516"/>
    <x v="128"/>
    <x v="20"/>
    <s v="Electronics|Mobiles&amp;Accessories|MobileAccessories|Chargers|PowerBanks"/>
    <n v="1599"/>
    <n v="3499"/>
    <x v="34"/>
    <x v="1"/>
    <x v="382"/>
  </r>
  <r>
    <x v="529"/>
    <x v="517"/>
    <x v="2"/>
    <x v="11"/>
    <s v="Electronics|Headphones,Earbuds&amp;Accessories|Adapters"/>
    <n v="120"/>
    <n v="999"/>
    <x v="51"/>
    <x v="2"/>
    <x v="383"/>
  </r>
  <r>
    <x v="530"/>
    <x v="518"/>
    <x v="107"/>
    <x v="19"/>
    <s v="Electronics|WearableTechnology|SmartWatches"/>
    <n v="3999"/>
    <n v="6999"/>
    <x v="1"/>
    <x v="3"/>
    <x v="384"/>
  </r>
  <r>
    <x v="531"/>
    <x v="472"/>
    <x v="25"/>
    <x v="21"/>
    <s v="Electronics|Mobiles&amp;Accessories|Smartphones&amp;BasicMobiles|Smartphones"/>
    <n v="12999"/>
    <n v="18999"/>
    <x v="44"/>
    <x v="3"/>
    <x v="308"/>
  </r>
  <r>
    <x v="532"/>
    <x v="519"/>
    <x v="118"/>
    <x v="37"/>
    <s v="Electronics|Mobiles&amp;Accessories|MobileAccessories|Cases&amp;Covers|BasicCases"/>
    <n v="1599"/>
    <n v="2599"/>
    <x v="16"/>
    <x v="4"/>
    <x v="385"/>
  </r>
  <r>
    <x v="533"/>
    <x v="520"/>
    <x v="27"/>
    <x v="27"/>
    <s v="Electronics|Mobiles&amp;Accessories|MobileAccessories|Chargers|WallChargers"/>
    <n v="699"/>
    <n v="1199"/>
    <x v="21"/>
    <x v="1"/>
    <x v="309"/>
  </r>
  <r>
    <x v="534"/>
    <x v="521"/>
    <x v="24"/>
    <x v="41"/>
    <s v="Electronics|Mobiles&amp;Accessories|MobileAccessories|DÃ©cor|PhoneCharms"/>
    <n v="99"/>
    <n v="999"/>
    <x v="2"/>
    <x v="5"/>
    <x v="386"/>
  </r>
  <r>
    <x v="535"/>
    <x v="522"/>
    <x v="6"/>
    <x v="21"/>
    <s v="Electronics|Mobiles&amp;Accessories|Smartphones&amp;BasicMobiles|Smartphones"/>
    <n v="7915"/>
    <n v="9999"/>
    <x v="72"/>
    <x v="4"/>
    <x v="106"/>
  </r>
  <r>
    <x v="536"/>
    <x v="523"/>
    <x v="105"/>
    <x v="19"/>
    <s v="Electronics|WearableTechnology|SmartWatches"/>
    <n v="1499"/>
    <n v="7999"/>
    <x v="73"/>
    <x v="0"/>
    <x v="359"/>
  </r>
  <r>
    <x v="537"/>
    <x v="524"/>
    <x v="90"/>
    <x v="23"/>
    <s v="Electronics|Mobiles&amp;Accessories|Smartphones&amp;BasicMobiles|BasicMobiles"/>
    <n v="1055"/>
    <n v="1249"/>
    <x v="81"/>
    <x v="11"/>
    <x v="387"/>
  </r>
  <r>
    <x v="538"/>
    <x v="525"/>
    <x v="67"/>
    <x v="34"/>
    <s v="Electronics|Mobiles&amp;Accessories|MobileAccessories|Maintenance,Upkeep&amp;Repairs|ScreenProtectors"/>
    <n v="150"/>
    <n v="599"/>
    <x v="43"/>
    <x v="4"/>
    <x v="388"/>
  </r>
  <r>
    <x v="69"/>
    <x v="69"/>
    <x v="19"/>
    <x v="0"/>
    <s v="Computers&amp;Accessories|Accessories&amp;Peripherals|Cables&amp;Accessories|Cables|USBCables"/>
    <n v="219"/>
    <n v="700"/>
    <x v="12"/>
    <x v="4"/>
    <x v="389"/>
  </r>
  <r>
    <x v="539"/>
    <x v="526"/>
    <x v="121"/>
    <x v="37"/>
    <s v="Electronics|Mobiles&amp;Accessories|MobileAccessories|Cases&amp;Covers|BasicCases"/>
    <n v="474"/>
    <n v="1799"/>
    <x v="80"/>
    <x v="4"/>
    <x v="243"/>
  </r>
  <r>
    <x v="540"/>
    <x v="527"/>
    <x v="13"/>
    <x v="27"/>
    <s v="Electronics|Mobiles&amp;Accessories|MobileAccessories|Chargers|WallChargers"/>
    <n v="239"/>
    <n v="599"/>
    <x v="13"/>
    <x v="2"/>
    <x v="360"/>
  </r>
  <r>
    <x v="541"/>
    <x v="528"/>
    <x v="25"/>
    <x v="21"/>
    <s v="Electronics|Mobiles&amp;Accessories|Smartphones&amp;BasicMobiles|Smartphones"/>
    <n v="7499"/>
    <n v="9499"/>
    <x v="72"/>
    <x v="3"/>
    <x v="331"/>
  </r>
  <r>
    <x v="542"/>
    <x v="529"/>
    <x v="136"/>
    <x v="19"/>
    <s v="Electronics|WearableTechnology|SmartWatches"/>
    <n v="265"/>
    <n v="999"/>
    <x v="25"/>
    <x v="7"/>
    <x v="390"/>
  </r>
  <r>
    <x v="543"/>
    <x v="530"/>
    <x v="12"/>
    <x v="21"/>
    <s v="Electronics|Mobiles&amp;Accessories|Smartphones&amp;BasicMobiles|Smartphones"/>
    <n v="37990"/>
    <n v="74999"/>
    <x v="75"/>
    <x v="0"/>
    <x v="391"/>
  </r>
  <r>
    <x v="544"/>
    <x v="531"/>
    <x v="17"/>
    <x v="30"/>
    <s v="Electronics|Mobiles&amp;Accessories|MobileAccessories|Photo&amp;VideoAccessories|SelfieSticks"/>
    <n v="1799"/>
    <n v="3999"/>
    <x v="10"/>
    <x v="13"/>
    <x v="392"/>
  </r>
  <r>
    <x v="545"/>
    <x v="532"/>
    <x v="132"/>
    <x v="21"/>
    <s v="Electronics|Mobiles&amp;Accessories|Smartphones&amp;BasicMobiles|Smartphones"/>
    <n v="8499"/>
    <n v="11999"/>
    <x v="56"/>
    <x v="2"/>
    <x v="393"/>
  </r>
  <r>
    <x v="546"/>
    <x v="533"/>
    <x v="107"/>
    <x v="19"/>
    <s v="Electronics|WearableTechnology|SmartWatches"/>
    <n v="1999"/>
    <n v="3999"/>
    <x v="8"/>
    <x v="1"/>
    <x v="268"/>
  </r>
  <r>
    <x v="547"/>
    <x v="369"/>
    <x v="105"/>
    <x v="19"/>
    <s v="Electronics|WearableTechnology|SmartWatches"/>
    <n v="3999"/>
    <n v="17999"/>
    <x v="38"/>
    <x v="4"/>
    <x v="394"/>
  </r>
  <r>
    <x v="548"/>
    <x v="534"/>
    <x v="19"/>
    <x v="27"/>
    <s v="Electronics|Mobiles&amp;Accessories|MobileAccessories|Chargers|WallChargers"/>
    <n v="219"/>
    <n v="499"/>
    <x v="37"/>
    <x v="5"/>
    <x v="395"/>
  </r>
  <r>
    <x v="549"/>
    <x v="535"/>
    <x v="137"/>
    <x v="30"/>
    <s v="Electronics|Mobiles&amp;Accessories|MobileAccessories|Photo&amp;VideoAccessories|SelfieSticks"/>
    <n v="599"/>
    <n v="1399"/>
    <x v="48"/>
    <x v="3"/>
    <x v="396"/>
  </r>
  <r>
    <x v="550"/>
    <x v="536"/>
    <x v="1"/>
    <x v="20"/>
    <s v="Electronics|Mobiles&amp;Accessories|MobileAccessories|Chargers|PowerBanks"/>
    <n v="2499"/>
    <n v="2999"/>
    <x v="49"/>
    <x v="3"/>
    <x v="397"/>
  </r>
  <r>
    <x v="551"/>
    <x v="537"/>
    <x v="114"/>
    <x v="42"/>
    <s v="Electronics|Mobiles&amp;Accessories|MobileAccessories|Mounts|Shower&amp;WallMounts"/>
    <n v="89"/>
    <n v="499"/>
    <x v="62"/>
    <x v="3"/>
    <x v="398"/>
  </r>
  <r>
    <x v="552"/>
    <x v="538"/>
    <x v="105"/>
    <x v="19"/>
    <s v="Electronics|WearableTechnology|SmartWatches"/>
    <n v="2999"/>
    <n v="11999"/>
    <x v="43"/>
    <x v="5"/>
    <x v="399"/>
  </r>
  <r>
    <x v="553"/>
    <x v="539"/>
    <x v="110"/>
    <x v="31"/>
    <s v="Electronics|Mobiles&amp;Accessories|MobileAccessories|Stands"/>
    <n v="314"/>
    <n v="1499"/>
    <x v="71"/>
    <x v="6"/>
    <x v="334"/>
  </r>
  <r>
    <x v="554"/>
    <x v="540"/>
    <x v="12"/>
    <x v="21"/>
    <s v="Electronics|Mobiles&amp;Accessories|Smartphones&amp;BasicMobiles|Smartphones"/>
    <n v="13999"/>
    <n v="19499"/>
    <x v="28"/>
    <x v="3"/>
    <x v="271"/>
  </r>
  <r>
    <x v="555"/>
    <x v="541"/>
    <x v="138"/>
    <x v="28"/>
    <s v="Electronics|Mobiles&amp;Accessories|MobileAccessories|Cables&amp;Adapters|OTGAdapters"/>
    <n v="139"/>
    <n v="499"/>
    <x v="22"/>
    <x v="0"/>
    <x v="400"/>
  </r>
  <r>
    <x v="556"/>
    <x v="542"/>
    <x v="120"/>
    <x v="35"/>
    <s v="Electronics|Mobiles&amp;Accessories|MobileAccessories|StylusPens"/>
    <n v="2599"/>
    <n v="6999"/>
    <x v="11"/>
    <x v="6"/>
    <x v="401"/>
  </r>
  <r>
    <x v="557"/>
    <x v="543"/>
    <x v="3"/>
    <x v="24"/>
    <s v="Electronics|Headphones,Earbuds&amp;Accessories|Headphones|In-Ear"/>
    <n v="365"/>
    <n v="999"/>
    <x v="11"/>
    <x v="3"/>
    <x v="402"/>
  </r>
  <r>
    <x v="558"/>
    <x v="544"/>
    <x v="3"/>
    <x v="24"/>
    <s v="Electronics|Headphones,Earbuds&amp;Accessories|Headphones|In-Ear"/>
    <n v="1499"/>
    <n v="4490"/>
    <x v="29"/>
    <x v="2"/>
    <x v="403"/>
  </r>
  <r>
    <x v="335"/>
    <x v="333"/>
    <x v="105"/>
    <x v="19"/>
    <s v="Electronics|WearableTechnology|SmartWatches"/>
    <n v="1998"/>
    <n v="9999"/>
    <x v="27"/>
    <x v="4"/>
    <x v="404"/>
  </r>
  <r>
    <x v="336"/>
    <x v="334"/>
    <x v="3"/>
    <x v="19"/>
    <s v="Electronics|WearableTechnology|SmartWatches"/>
    <n v="1799"/>
    <n v="7990"/>
    <x v="36"/>
    <x v="11"/>
    <x v="322"/>
  </r>
  <r>
    <x v="559"/>
    <x v="545"/>
    <x v="106"/>
    <x v="43"/>
    <s v="Computers&amp;Accessories|ExternalDevices&amp;DataStorage|PenDrives"/>
    <n v="289"/>
    <n v="650"/>
    <x v="37"/>
    <x v="4"/>
    <x v="405"/>
  </r>
  <r>
    <x v="560"/>
    <x v="546"/>
    <x v="139"/>
    <x v="44"/>
    <s v="Computers&amp;Accessories|Accessories&amp;Peripherals|Keyboards,Mice&amp;InputDevices|Mice"/>
    <n v="599"/>
    <n v="895"/>
    <x v="9"/>
    <x v="5"/>
    <x v="406"/>
  </r>
  <r>
    <x v="561"/>
    <x v="547"/>
    <x v="140"/>
    <x v="45"/>
    <s v="Computers&amp;Accessories|Accessories&amp;Peripherals|Keyboards,Mice&amp;InputDevices|GraphicTablets"/>
    <n v="217"/>
    <n v="237"/>
    <x v="27"/>
    <x v="11"/>
    <x v="407"/>
  </r>
  <r>
    <x v="562"/>
    <x v="548"/>
    <x v="3"/>
    <x v="24"/>
    <s v="Electronics|Headphones,Earbuds&amp;Accessories|Headphones|In-Ear"/>
    <n v="1299"/>
    <n v="2990"/>
    <x v="48"/>
    <x v="11"/>
    <x v="408"/>
  </r>
  <r>
    <x v="563"/>
    <x v="549"/>
    <x v="141"/>
    <x v="46"/>
    <s v="Computers&amp;Accessories|Accessories&amp;Peripherals|LaptopAccessories|Lapdesks"/>
    <n v="263"/>
    <n v="699"/>
    <x v="33"/>
    <x v="12"/>
    <x v="409"/>
  </r>
  <r>
    <x v="343"/>
    <x v="341"/>
    <x v="106"/>
    <x v="22"/>
    <s v="Electronics|Accessories|MemoryCards|MicroSD"/>
    <n v="569"/>
    <n v="1000"/>
    <x v="1"/>
    <x v="5"/>
    <x v="410"/>
  </r>
  <r>
    <x v="344"/>
    <x v="342"/>
    <x v="107"/>
    <x v="19"/>
    <s v="Electronics|WearableTechnology|SmartWatches"/>
    <n v="1999"/>
    <n v="4999"/>
    <x v="13"/>
    <x v="3"/>
    <x v="257"/>
  </r>
  <r>
    <x v="564"/>
    <x v="550"/>
    <x v="3"/>
    <x v="24"/>
    <s v="Electronics|Headphones,Earbuds&amp;Accessories|Headphones|In-Ear"/>
    <n v="1399"/>
    <n v="3990"/>
    <x v="6"/>
    <x v="3"/>
    <x v="411"/>
  </r>
  <r>
    <x v="565"/>
    <x v="551"/>
    <x v="114"/>
    <x v="47"/>
    <s v="Computers&amp;Accessories|Accessories&amp;Peripherals|LaptopAccessories|NotebookComputerStands"/>
    <n v="349"/>
    <n v="1499"/>
    <x v="36"/>
    <x v="4"/>
    <x v="412"/>
  </r>
  <r>
    <x v="566"/>
    <x v="552"/>
    <x v="35"/>
    <x v="24"/>
    <s v="Electronics|Headphones,Earbuds&amp;Accessories|Headphones|In-Ear"/>
    <n v="149"/>
    <n v="399"/>
    <x v="11"/>
    <x v="12"/>
    <x v="413"/>
  </r>
  <r>
    <x v="347"/>
    <x v="345"/>
    <x v="109"/>
    <x v="24"/>
    <s v="Electronics|Headphones,Earbuds&amp;Accessories|Headphones|In-Ear"/>
    <n v="599"/>
    <n v="999"/>
    <x v="54"/>
    <x v="3"/>
    <x v="414"/>
  </r>
  <r>
    <x v="567"/>
    <x v="553"/>
    <x v="3"/>
    <x v="39"/>
    <s v="Electronics|Headphones,Earbuds&amp;Accessories|Headphones|On-Ear"/>
    <n v="1220"/>
    <n v="3990"/>
    <x v="12"/>
    <x v="3"/>
    <x v="415"/>
  </r>
  <r>
    <x v="346"/>
    <x v="344"/>
    <x v="3"/>
    <x v="19"/>
    <s v="Electronics|WearableTechnology|SmartWatches"/>
    <n v="1499"/>
    <n v="6990"/>
    <x v="71"/>
    <x v="2"/>
    <x v="416"/>
  </r>
  <r>
    <x v="568"/>
    <x v="554"/>
    <x v="109"/>
    <x v="24"/>
    <s v="Electronics|Headphones,Earbuds&amp;Accessories|Headphones|In-Ear"/>
    <n v="499"/>
    <n v="999"/>
    <x v="8"/>
    <x v="2"/>
    <x v="417"/>
  </r>
  <r>
    <x v="569"/>
    <x v="555"/>
    <x v="24"/>
    <x v="32"/>
    <s v="Computers&amp;Accessories|Accessories&amp;Peripherals|Cables&amp;Accessories|CableConnectionProtectors"/>
    <n v="99"/>
    <n v="999"/>
    <x v="2"/>
    <x v="3"/>
    <x v="418"/>
  </r>
  <r>
    <x v="351"/>
    <x v="349"/>
    <x v="5"/>
    <x v="25"/>
    <s v="Electronics|Mobiles&amp;Accessories|MobileAccessories|Chargers|AutomobileChargers"/>
    <n v="349"/>
    <n v="1299"/>
    <x v="25"/>
    <x v="1"/>
    <x v="419"/>
  </r>
  <r>
    <x v="570"/>
    <x v="556"/>
    <x v="117"/>
    <x v="43"/>
    <s v="Computers&amp;Accessories|ExternalDevices&amp;DataStorage|PenDrives"/>
    <n v="475"/>
    <n v="1500"/>
    <x v="45"/>
    <x v="0"/>
    <x v="420"/>
  </r>
  <r>
    <x v="571"/>
    <x v="557"/>
    <x v="117"/>
    <x v="44"/>
    <s v="Computers&amp;Accessories|Accessories&amp;Peripherals|Keyboards,Mice&amp;InputDevices|Mice"/>
    <n v="269"/>
    <n v="649"/>
    <x v="53"/>
    <x v="4"/>
    <x v="421"/>
  </r>
  <r>
    <x v="572"/>
    <x v="558"/>
    <x v="4"/>
    <x v="44"/>
    <s v="Computers&amp;Accessories|Accessories&amp;Peripherals|Keyboards,Mice&amp;InputDevices|Mice"/>
    <n v="299"/>
    <n v="599"/>
    <x v="8"/>
    <x v="3"/>
    <x v="422"/>
  </r>
  <r>
    <x v="360"/>
    <x v="358"/>
    <x v="105"/>
    <x v="19"/>
    <s v="Electronics|WearableTechnology|SmartWatches"/>
    <n v="1499"/>
    <n v="7999"/>
    <x v="73"/>
    <x v="0"/>
    <x v="359"/>
  </r>
  <r>
    <x v="573"/>
    <x v="559"/>
    <x v="142"/>
    <x v="24"/>
    <s v="Electronics|Headphones,Earbuds&amp;Accessories|Headphones|In-Ear"/>
    <n v="329"/>
    <n v="999"/>
    <x v="29"/>
    <x v="2"/>
    <x v="423"/>
  </r>
  <r>
    <x v="574"/>
    <x v="560"/>
    <x v="143"/>
    <x v="48"/>
    <s v="Computers&amp;Accessories|Accessories&amp;Peripherals|Keyboards,Mice&amp;InputDevices|Keyboards"/>
    <n v="549"/>
    <n v="1799"/>
    <x v="12"/>
    <x v="4"/>
    <x v="424"/>
  </r>
  <r>
    <x v="365"/>
    <x v="362"/>
    <x v="105"/>
    <x v="19"/>
    <s v="Electronics|WearableTechnology|SmartWatches"/>
    <n v="2199"/>
    <n v="9999"/>
    <x v="38"/>
    <x v="0"/>
    <x v="425"/>
  </r>
  <r>
    <x v="575"/>
    <x v="561"/>
    <x v="143"/>
    <x v="44"/>
    <s v="Computers&amp;Accessories|Accessories&amp;Peripherals|Keyboards,Mice&amp;InputDevices|Mice"/>
    <n v="299"/>
    <n v="650"/>
    <x v="34"/>
    <x v="6"/>
    <x v="426"/>
  </r>
  <r>
    <x v="576"/>
    <x v="562"/>
    <x v="144"/>
    <x v="49"/>
    <s v="MusicalInstruments|Microphones|Condenser"/>
    <n v="798"/>
    <n v="1995"/>
    <x v="13"/>
    <x v="1"/>
    <x v="427"/>
  </r>
  <r>
    <x v="577"/>
    <x v="563"/>
    <x v="10"/>
    <x v="50"/>
    <s v="Electronics|GeneralPurposeBatteries&amp;BatteryChargers|DisposableBatteries"/>
    <n v="266"/>
    <n v="315"/>
    <x v="81"/>
    <x v="6"/>
    <x v="428"/>
  </r>
  <r>
    <x v="578"/>
    <x v="564"/>
    <x v="145"/>
    <x v="51"/>
    <s v="OfficeProducts|OfficePaperProducts|Paper|Stationery|Pens,Pencils&amp;WritingSupplies|Pens&amp;Refills|GelInkRollerballPens"/>
    <n v="50"/>
    <n v="50"/>
    <x v="26"/>
    <x v="4"/>
    <x v="429"/>
  </r>
  <r>
    <x v="579"/>
    <x v="565"/>
    <x v="146"/>
    <x v="52"/>
    <s v="Home&amp;Kitchen|CraftMaterials|Scrapbooking|Tape"/>
    <n v="130"/>
    <n v="165"/>
    <x v="72"/>
    <x v="2"/>
    <x v="430"/>
  </r>
  <r>
    <x v="580"/>
    <x v="566"/>
    <x v="3"/>
    <x v="24"/>
    <s v="Electronics|Headphones,Earbuds&amp;Accessories|Headphones|In-Ear"/>
    <n v="449"/>
    <n v="1290"/>
    <x v="6"/>
    <x v="3"/>
    <x v="431"/>
  </r>
  <r>
    <x v="374"/>
    <x v="369"/>
    <x v="105"/>
    <x v="19"/>
    <s v="Electronics|WearableTechnology|SmartWatches"/>
    <n v="3999"/>
    <n v="16999"/>
    <x v="60"/>
    <x v="4"/>
    <x v="432"/>
  </r>
  <r>
    <x v="581"/>
    <x v="567"/>
    <x v="3"/>
    <x v="24"/>
    <s v="Electronics|Headphones,Earbuds&amp;Accessories|Headphones|In-Ear"/>
    <n v="399"/>
    <n v="1290"/>
    <x v="12"/>
    <x v="0"/>
    <x v="433"/>
  </r>
  <r>
    <x v="582"/>
    <x v="568"/>
    <x v="143"/>
    <x v="53"/>
    <s v="Computers&amp;Accessories|Accessories&amp;Peripherals|Keyboards,Mice&amp;InputDevices|Keyboard&amp;MouseSets"/>
    <n v="1399"/>
    <n v="2498"/>
    <x v="15"/>
    <x v="0"/>
    <x v="434"/>
  </r>
  <r>
    <x v="583"/>
    <x v="569"/>
    <x v="147"/>
    <x v="54"/>
    <s v="Computers&amp;Accessories|ExternalDevices&amp;DataStorage|ExternalHardDisks"/>
    <n v="4098"/>
    <n v="4999"/>
    <x v="74"/>
    <x v="6"/>
    <x v="435"/>
  </r>
  <r>
    <x v="584"/>
    <x v="570"/>
    <x v="117"/>
    <x v="55"/>
    <s v="Electronics|Cameras&amp;Photography|VideoCameras"/>
    <n v="499"/>
    <n v="1999"/>
    <x v="43"/>
    <x v="7"/>
    <x v="436"/>
  </r>
  <r>
    <x v="585"/>
    <x v="571"/>
    <x v="35"/>
    <x v="44"/>
    <s v="Computers&amp;Accessories|Accessories&amp;Peripherals|Keyboards,Mice&amp;InputDevices|Mice"/>
    <n v="299"/>
    <n v="449"/>
    <x v="9"/>
    <x v="12"/>
    <x v="437"/>
  </r>
  <r>
    <x v="586"/>
    <x v="572"/>
    <x v="35"/>
    <x v="53"/>
    <s v="Computers&amp;Accessories|Accessories&amp;Peripherals|Keyboards,Mice&amp;InputDevices|Keyboard&amp;MouseSets"/>
    <n v="699"/>
    <n v="999"/>
    <x v="76"/>
    <x v="12"/>
    <x v="438"/>
  </r>
  <r>
    <x v="587"/>
    <x v="573"/>
    <x v="148"/>
    <x v="56"/>
    <s v="Electronics|Cameras&amp;Photography|Accessories|Tripods&amp;Monopods|Tabletop&amp;TravelTripods"/>
    <n v="799"/>
    <n v="3990"/>
    <x v="27"/>
    <x v="4"/>
    <x v="439"/>
  </r>
  <r>
    <x v="588"/>
    <x v="574"/>
    <x v="142"/>
    <x v="24"/>
    <s v="Electronics|Headphones,Earbuds&amp;Accessories|Headphones|In-Ear"/>
    <n v="1399"/>
    <n v="5499"/>
    <x v="43"/>
    <x v="2"/>
    <x v="440"/>
  </r>
  <r>
    <x v="589"/>
    <x v="575"/>
    <x v="106"/>
    <x v="43"/>
    <s v="Computers&amp;Accessories|ExternalDevices&amp;DataStorage|PenDrives"/>
    <n v="519"/>
    <n v="1350"/>
    <x v="33"/>
    <x v="4"/>
    <x v="441"/>
  </r>
  <r>
    <x v="390"/>
    <x v="383"/>
    <x v="3"/>
    <x v="19"/>
    <s v="Electronics|WearableTechnology|SmartWatches"/>
    <n v="2299"/>
    <n v="7990"/>
    <x v="58"/>
    <x v="0"/>
    <x v="442"/>
  </r>
  <r>
    <x v="590"/>
    <x v="576"/>
    <x v="3"/>
    <x v="24"/>
    <s v="Electronics|Headphones,Earbuds&amp;Accessories|Headphones|In-Ear"/>
    <n v="1499"/>
    <n v="3990"/>
    <x v="33"/>
    <x v="3"/>
    <x v="443"/>
  </r>
  <r>
    <x v="591"/>
    <x v="577"/>
    <x v="149"/>
    <x v="57"/>
    <s v="OfficeProducts|OfficeElectronics|Calculators|Scientific"/>
    <n v="1295"/>
    <n v="1295"/>
    <x v="26"/>
    <x v="6"/>
    <x v="444"/>
  </r>
  <r>
    <x v="592"/>
    <x v="578"/>
    <x v="7"/>
    <x v="58"/>
    <s v="Computers&amp;Accessories|NetworkingDevices|Repeaters&amp;Extenders"/>
    <n v="1889"/>
    <n v="5499"/>
    <x v="46"/>
    <x v="0"/>
    <x v="445"/>
  </r>
  <r>
    <x v="593"/>
    <x v="579"/>
    <x v="3"/>
    <x v="24"/>
    <s v="Electronics|Headphones,Earbuds&amp;Accessories|Headphones|In-Ear"/>
    <n v="455"/>
    <n v="1490"/>
    <x v="12"/>
    <x v="3"/>
    <x v="446"/>
  </r>
  <r>
    <x v="594"/>
    <x v="580"/>
    <x v="150"/>
    <x v="59"/>
    <s v="Electronics|Cameras&amp;Photography|Accessories|Tripods&amp;Monopods|TripodLegs"/>
    <n v="399"/>
    <n v="995"/>
    <x v="13"/>
    <x v="2"/>
    <x v="447"/>
  </r>
  <r>
    <x v="392"/>
    <x v="385"/>
    <x v="12"/>
    <x v="22"/>
    <s v="Electronics|Accessories|MemoryCards|MicroSD"/>
    <n v="1059"/>
    <n v="3999"/>
    <x v="80"/>
    <x v="4"/>
    <x v="448"/>
  </r>
  <r>
    <x v="595"/>
    <x v="581"/>
    <x v="117"/>
    <x v="60"/>
    <s v="Computers&amp;Accessories|Printers,Inks&amp;Accessories|Inks,Toners&amp;Cartridges|InkjetInkCartridges"/>
    <n v="717"/>
    <n v="761"/>
    <x v="13"/>
    <x v="1"/>
    <x v="449"/>
  </r>
  <r>
    <x v="596"/>
    <x v="582"/>
    <x v="34"/>
    <x v="61"/>
    <s v="Computers&amp;Accessories|Accessories&amp;Peripherals|Keyboards,Mice&amp;InputDevices|Keyboard&amp;MiceAccessories|DustCovers"/>
    <n v="39"/>
    <n v="299"/>
    <x v="65"/>
    <x v="12"/>
    <x v="450"/>
  </r>
  <r>
    <x v="597"/>
    <x v="583"/>
    <x v="106"/>
    <x v="43"/>
    <s v="Computers&amp;Accessories|ExternalDevices&amp;DataStorage|PenDrives"/>
    <n v="889"/>
    <n v="2500"/>
    <x v="0"/>
    <x v="4"/>
    <x v="451"/>
  </r>
  <r>
    <x v="598"/>
    <x v="584"/>
    <x v="142"/>
    <x v="24"/>
    <s v="Electronics|Headphones,Earbuds&amp;Accessories|Headphones|In-Ear"/>
    <n v="1199"/>
    <n v="4999"/>
    <x v="60"/>
    <x v="11"/>
    <x v="452"/>
  </r>
  <r>
    <x v="599"/>
    <x v="585"/>
    <x v="143"/>
    <x v="44"/>
    <s v="Computers&amp;Accessories|Accessories&amp;Peripherals|Keyboards,Mice&amp;InputDevices|Mice"/>
    <n v="569"/>
    <n v="1299"/>
    <x v="37"/>
    <x v="5"/>
    <x v="453"/>
  </r>
  <r>
    <x v="600"/>
    <x v="586"/>
    <x v="142"/>
    <x v="24"/>
    <s v="Electronics|Headphones,Earbuds&amp;Accessories|Headphones|In-Ear"/>
    <n v="1499"/>
    <n v="8999"/>
    <x v="57"/>
    <x v="7"/>
    <x v="454"/>
  </r>
  <r>
    <x v="601"/>
    <x v="587"/>
    <x v="151"/>
    <x v="50"/>
    <s v="Electronics|GeneralPurposeBatteries&amp;BatteryChargers|DisposableBatteries"/>
    <n v="149"/>
    <n v="180"/>
    <x v="49"/>
    <x v="5"/>
    <x v="455"/>
  </r>
  <r>
    <x v="602"/>
    <x v="588"/>
    <x v="35"/>
    <x v="62"/>
    <s v="Computers&amp;Accessories|Accessories&amp;Peripherals|PCGamingPeripherals|GamingMice"/>
    <n v="399"/>
    <n v="549"/>
    <x v="35"/>
    <x v="5"/>
    <x v="456"/>
  </r>
  <r>
    <x v="603"/>
    <x v="589"/>
    <x v="152"/>
    <x v="63"/>
    <s v="Home&amp;Kitchen|CraftMaterials|PaintingMaterials|Paints"/>
    <n v="191"/>
    <n v="225"/>
    <x v="59"/>
    <x v="5"/>
    <x v="457"/>
  </r>
  <r>
    <x v="604"/>
    <x v="590"/>
    <x v="114"/>
    <x v="64"/>
    <s v="Computers&amp;Accessories|Accessories&amp;Peripherals|Keyboards,Mice&amp;InputDevices|Keyboard&amp;MiceAccessories|MousePads"/>
    <n v="129"/>
    <n v="999"/>
    <x v="65"/>
    <x v="0"/>
    <x v="143"/>
  </r>
  <r>
    <x v="605"/>
    <x v="591"/>
    <x v="34"/>
    <x v="65"/>
    <s v="Computers&amp;Accessories|Accessories&amp;Peripherals|HardDiskBags"/>
    <n v="199"/>
    <n v="599"/>
    <x v="29"/>
    <x v="6"/>
    <x v="458"/>
  </r>
  <r>
    <x v="606"/>
    <x v="592"/>
    <x v="142"/>
    <x v="24"/>
    <s v="Electronics|Headphones,Earbuds&amp;Accessories|Headphones|In-Ear"/>
    <n v="999"/>
    <n v="4499"/>
    <x v="38"/>
    <x v="11"/>
    <x v="459"/>
  </r>
  <r>
    <x v="607"/>
    <x v="593"/>
    <x v="142"/>
    <x v="24"/>
    <s v="Electronics|Headphones,Earbuds&amp;Accessories|Headphones|In-Ear"/>
    <n v="899"/>
    <n v="4499"/>
    <x v="27"/>
    <x v="11"/>
    <x v="460"/>
  </r>
  <r>
    <x v="608"/>
    <x v="594"/>
    <x v="149"/>
    <x v="57"/>
    <s v="OfficeProducts|OfficeElectronics|Calculators|Scientific"/>
    <n v="522"/>
    <n v="550"/>
    <x v="8"/>
    <x v="5"/>
    <x v="461"/>
  </r>
  <r>
    <x v="609"/>
    <x v="595"/>
    <x v="113"/>
    <x v="66"/>
    <s v="Electronics|Cameras&amp;Photography|Flashes|Macro&amp;RinglightFlashes"/>
    <n v="799"/>
    <n v="1999"/>
    <x v="13"/>
    <x v="11"/>
    <x v="462"/>
  </r>
  <r>
    <x v="610"/>
    <x v="596"/>
    <x v="117"/>
    <x v="44"/>
    <s v="Computers&amp;Accessories|Accessories&amp;Peripherals|Keyboards,Mice&amp;InputDevices|Mice"/>
    <n v="681"/>
    <n v="1199"/>
    <x v="1"/>
    <x v="0"/>
    <x v="463"/>
  </r>
  <r>
    <x v="611"/>
    <x v="597"/>
    <x v="153"/>
    <x v="67"/>
    <s v="Computers&amp;Accessories|NetworkingDevices"/>
    <n v="1199"/>
    <n v="3490"/>
    <x v="46"/>
    <x v="3"/>
    <x v="464"/>
  </r>
  <r>
    <x v="612"/>
    <x v="598"/>
    <x v="7"/>
    <x v="68"/>
    <s v="Computers&amp;Accessories|NetworkingDevices|Routers"/>
    <n v="2499"/>
    <n v="4999"/>
    <x v="8"/>
    <x v="5"/>
    <x v="465"/>
  </r>
  <r>
    <x v="613"/>
    <x v="599"/>
    <x v="3"/>
    <x v="69"/>
    <s v="Electronics|Headphones,Earbuds&amp;Accessories|Headphones|Over-Ear"/>
    <n v="1799"/>
    <n v="4999"/>
    <x v="0"/>
    <x v="3"/>
    <x v="466"/>
  </r>
  <r>
    <x v="614"/>
    <x v="600"/>
    <x v="154"/>
    <x v="24"/>
    <s v="Electronics|Headphones,Earbuds&amp;Accessories|Headphones|In-Ear"/>
    <n v="429"/>
    <n v="599"/>
    <x v="28"/>
    <x v="3"/>
    <x v="467"/>
  </r>
  <r>
    <x v="615"/>
    <x v="601"/>
    <x v="155"/>
    <x v="45"/>
    <s v="Computers&amp;Accessories|Accessories&amp;Peripherals|Keyboards,Mice&amp;InputDevices|GraphicTablets"/>
    <n v="100"/>
    <n v="499"/>
    <x v="27"/>
    <x v="12"/>
    <x v="468"/>
  </r>
  <r>
    <x v="616"/>
    <x v="602"/>
    <x v="35"/>
    <x v="48"/>
    <s v="Computers&amp;Accessories|Accessories&amp;Peripherals|Keyboards,Mice&amp;InputDevices|Keyboards"/>
    <n v="329"/>
    <n v="399"/>
    <x v="74"/>
    <x v="9"/>
    <x v="469"/>
  </r>
  <r>
    <x v="617"/>
    <x v="603"/>
    <x v="35"/>
    <x v="44"/>
    <s v="Computers&amp;Accessories|Accessories&amp;Peripherals|Keyboards,Mice&amp;InputDevices|Mice"/>
    <n v="139"/>
    <n v="299"/>
    <x v="34"/>
    <x v="11"/>
    <x v="470"/>
  </r>
  <r>
    <x v="618"/>
    <x v="604"/>
    <x v="3"/>
    <x v="39"/>
    <s v="Electronics|Headphones,Earbuds&amp;Accessories|Headphones|On-Ear"/>
    <n v="1199"/>
    <n v="2499"/>
    <x v="50"/>
    <x v="1"/>
    <x v="471"/>
  </r>
  <r>
    <x v="619"/>
    <x v="605"/>
    <x v="35"/>
    <x v="70"/>
    <s v="Electronics|HomeAudio|Speakers|BluetoothSpeakers"/>
    <n v="1049"/>
    <n v="2299"/>
    <x v="34"/>
    <x v="2"/>
    <x v="472"/>
  </r>
  <r>
    <x v="620"/>
    <x v="606"/>
    <x v="156"/>
    <x v="71"/>
    <s v="Electronics|GeneralPurposeBatteries&amp;BatteryChargers"/>
    <n v="225"/>
    <n v="250"/>
    <x v="78"/>
    <x v="5"/>
    <x v="473"/>
  </r>
  <r>
    <x v="621"/>
    <x v="607"/>
    <x v="157"/>
    <x v="46"/>
    <s v="Computers&amp;Accessories|Accessories&amp;Peripherals|LaptopAccessories|Lapdesks"/>
    <n v="656"/>
    <n v="1499"/>
    <x v="37"/>
    <x v="4"/>
    <x v="474"/>
  </r>
  <r>
    <x v="622"/>
    <x v="608"/>
    <x v="106"/>
    <x v="43"/>
    <s v="Computers&amp;Accessories|ExternalDevices&amp;DataStorage|PenDrives"/>
    <n v="1109"/>
    <n v="2800"/>
    <x v="13"/>
    <x v="4"/>
    <x v="475"/>
  </r>
  <r>
    <x v="413"/>
    <x v="405"/>
    <x v="3"/>
    <x v="19"/>
    <s v="Electronics|WearableTechnology|SmartWatches"/>
    <n v="2999"/>
    <n v="7990"/>
    <x v="33"/>
    <x v="3"/>
    <x v="476"/>
  </r>
  <r>
    <x v="623"/>
    <x v="609"/>
    <x v="11"/>
    <x v="64"/>
    <s v="Computers&amp;Accessories|Accessories&amp;Peripherals|Keyboards,Mice&amp;InputDevices|Keyboard&amp;MiceAccessories|MousePads"/>
    <n v="169"/>
    <n v="299"/>
    <x v="1"/>
    <x v="5"/>
    <x v="477"/>
  </r>
  <r>
    <x v="624"/>
    <x v="610"/>
    <x v="158"/>
    <x v="60"/>
    <s v="Computers&amp;Accessories|Printers,Inks&amp;Accessories|Inks,Toners&amp;Cartridges|InkjetInkCartridges"/>
    <n v="309"/>
    <n v="404"/>
    <x v="66"/>
    <x v="5"/>
    <x v="478"/>
  </r>
  <r>
    <x v="625"/>
    <x v="611"/>
    <x v="35"/>
    <x v="39"/>
    <s v="Electronics|Headphones,Earbuds&amp;Accessories|Headphones|On-Ear"/>
    <n v="599"/>
    <n v="1399"/>
    <x v="48"/>
    <x v="11"/>
    <x v="479"/>
  </r>
  <r>
    <x v="626"/>
    <x v="612"/>
    <x v="159"/>
    <x v="48"/>
    <s v="Computers&amp;Accessories|Accessories&amp;Peripherals|Keyboards,Mice&amp;InputDevices|Keyboards"/>
    <n v="299"/>
    <n v="599"/>
    <x v="8"/>
    <x v="11"/>
    <x v="480"/>
  </r>
  <r>
    <x v="627"/>
    <x v="613"/>
    <x v="114"/>
    <x v="46"/>
    <s v="Computers&amp;Accessories|Accessories&amp;Peripherals|LaptopAccessories|Lapdesks"/>
    <n v="449"/>
    <n v="999"/>
    <x v="10"/>
    <x v="1"/>
    <x v="481"/>
  </r>
  <r>
    <x v="628"/>
    <x v="614"/>
    <x v="139"/>
    <x v="44"/>
    <s v="Computers&amp;Accessories|Accessories&amp;Peripherals|Keyboards,Mice&amp;InputDevices|Mice"/>
    <n v="799"/>
    <n v="1295"/>
    <x v="16"/>
    <x v="5"/>
    <x v="482"/>
  </r>
  <r>
    <x v="12"/>
    <x v="12"/>
    <x v="8"/>
    <x v="2"/>
    <s v="Electronics|HomeTheater,TV&amp;Video|Accessories|Cables|HDMICables"/>
    <n v="219"/>
    <n v="700"/>
    <x v="12"/>
    <x v="5"/>
    <x v="483"/>
  </r>
  <r>
    <x v="629"/>
    <x v="615"/>
    <x v="145"/>
    <x v="72"/>
    <s v="OfficeProducts|OfficePaperProducts|Paper|Stationery|Notebooks,WritingPads&amp;Diaries|WireboundNotebooks"/>
    <n v="157"/>
    <n v="160"/>
    <x v="52"/>
    <x v="6"/>
    <x v="484"/>
  </r>
  <r>
    <x v="630"/>
    <x v="616"/>
    <x v="117"/>
    <x v="44"/>
    <s v="Computers&amp;Accessories|Accessories&amp;Peripherals|Keyboards,Mice&amp;InputDevices|Mice"/>
    <n v="599"/>
    <n v="899"/>
    <x v="9"/>
    <x v="1"/>
    <x v="485"/>
  </r>
  <r>
    <x v="631"/>
    <x v="617"/>
    <x v="10"/>
    <x v="73"/>
    <s v="Electronics|GeneralPurposeBatteries&amp;BatteryChargers|RechargeableBatteries"/>
    <n v="479"/>
    <n v="599"/>
    <x v="52"/>
    <x v="4"/>
    <x v="486"/>
  </r>
  <r>
    <x v="632"/>
    <x v="618"/>
    <x v="3"/>
    <x v="24"/>
    <s v="Electronics|Headphones,Earbuds&amp;Accessories|Headphones|In-Ear"/>
    <n v="1598"/>
    <n v="2990"/>
    <x v="41"/>
    <x v="11"/>
    <x v="487"/>
  </r>
  <r>
    <x v="633"/>
    <x v="619"/>
    <x v="7"/>
    <x v="74"/>
    <s v="Computers&amp;Accessories|NetworkingDevices|NetworkAdapters|BluetoothAdapters"/>
    <n v="599"/>
    <n v="899"/>
    <x v="9"/>
    <x v="4"/>
    <x v="488"/>
  </r>
  <r>
    <x v="634"/>
    <x v="620"/>
    <x v="106"/>
    <x v="43"/>
    <s v="Computers&amp;Accessories|ExternalDevices&amp;DataStorage|PenDrives"/>
    <n v="1299"/>
    <n v="3000"/>
    <x v="48"/>
    <x v="4"/>
    <x v="489"/>
  </r>
  <r>
    <x v="437"/>
    <x v="428"/>
    <x v="107"/>
    <x v="19"/>
    <s v="Electronics|WearableTechnology|SmartWatches"/>
    <n v="1599"/>
    <n v="4999"/>
    <x v="45"/>
    <x v="1"/>
    <x v="490"/>
  </r>
  <r>
    <x v="635"/>
    <x v="621"/>
    <x v="160"/>
    <x v="75"/>
    <s v="Computers&amp;Accessories|Accessories&amp;Peripherals|Adapters|USBtoUSBAdapters"/>
    <n v="294"/>
    <n v="4999"/>
    <x v="82"/>
    <x v="4"/>
    <x v="491"/>
  </r>
  <r>
    <x v="636"/>
    <x v="622"/>
    <x v="117"/>
    <x v="60"/>
    <s v="Computers&amp;Accessories|Printers,Inks&amp;Accessories|Inks,Toners&amp;Cartridges|InkjetInkCartridges"/>
    <n v="828"/>
    <n v="861"/>
    <x v="54"/>
    <x v="0"/>
    <x v="492"/>
  </r>
  <r>
    <x v="637"/>
    <x v="623"/>
    <x v="139"/>
    <x v="39"/>
    <s v="Electronics|Headphones,Earbuds&amp;Accessories|Headphones|On-Ear"/>
    <n v="745"/>
    <n v="795"/>
    <x v="13"/>
    <x v="1"/>
    <x v="493"/>
  </r>
  <r>
    <x v="638"/>
    <x v="624"/>
    <x v="161"/>
    <x v="76"/>
    <s v="Electronics|Cameras&amp;Photography|Accessories|Tripods&amp;Monopods|CompleteTripodUnits"/>
    <n v="1549"/>
    <n v="2495"/>
    <x v="16"/>
    <x v="5"/>
    <x v="494"/>
  </r>
  <r>
    <x v="639"/>
    <x v="625"/>
    <x v="7"/>
    <x v="58"/>
    <s v="Computers&amp;Accessories|NetworkingDevices|Repeaters&amp;Extenders"/>
    <n v="1469"/>
    <n v="2499"/>
    <x v="19"/>
    <x v="0"/>
    <x v="495"/>
  </r>
  <r>
    <x v="640"/>
    <x v="626"/>
    <x v="162"/>
    <x v="77"/>
    <s v="OfficeProducts|OfficePaperProducts|Paper|Stationery|Notebooks,WritingPads&amp;Diaries|Notepads&amp;MemoBooks"/>
    <n v="198"/>
    <n v="800"/>
    <x v="43"/>
    <x v="3"/>
    <x v="496"/>
  </r>
  <r>
    <x v="641"/>
    <x v="627"/>
    <x v="163"/>
    <x v="78"/>
    <s v="Electronics|Cameras&amp;Photography|Accessories|Film"/>
    <n v="549"/>
    <n v="549"/>
    <x v="26"/>
    <x v="6"/>
    <x v="497"/>
  </r>
  <r>
    <x v="457"/>
    <x v="448"/>
    <x v="105"/>
    <x v="19"/>
    <s v="Electronics|WearableTechnology|SmartWatches"/>
    <n v="2999"/>
    <n v="9999"/>
    <x v="20"/>
    <x v="0"/>
    <x v="498"/>
  </r>
  <r>
    <x v="642"/>
    <x v="628"/>
    <x v="12"/>
    <x v="19"/>
    <s v="Electronics|WearableTechnology|SmartWatches"/>
    <n v="12000"/>
    <n v="29999"/>
    <x v="13"/>
    <x v="4"/>
    <x v="499"/>
  </r>
  <r>
    <x v="643"/>
    <x v="629"/>
    <x v="107"/>
    <x v="24"/>
    <s v="Electronics|Headphones,Earbuds&amp;Accessories|Headphones|In-Ear"/>
    <n v="1299"/>
    <n v="3499"/>
    <x v="11"/>
    <x v="2"/>
    <x v="500"/>
  </r>
  <r>
    <x v="644"/>
    <x v="630"/>
    <x v="10"/>
    <x v="50"/>
    <s v="Electronics|GeneralPurposeBatteries&amp;BatteryChargers|DisposableBatteries"/>
    <n v="269"/>
    <n v="315"/>
    <x v="59"/>
    <x v="6"/>
    <x v="501"/>
  </r>
  <r>
    <x v="645"/>
    <x v="631"/>
    <x v="109"/>
    <x v="24"/>
    <s v="Electronics|Headphones,Earbuds&amp;Accessories|Headphones|In-Ear"/>
    <n v="799"/>
    <n v="1499"/>
    <x v="41"/>
    <x v="3"/>
    <x v="502"/>
  </r>
  <r>
    <x v="646"/>
    <x v="632"/>
    <x v="14"/>
    <x v="79"/>
    <s v="Computers&amp;Accessories|Monitors"/>
    <n v="6299"/>
    <n v="13750"/>
    <x v="34"/>
    <x v="0"/>
    <x v="503"/>
  </r>
  <r>
    <x v="647"/>
    <x v="633"/>
    <x v="164"/>
    <x v="80"/>
    <s v="Computers&amp;Accessories|Accessories&amp;Peripherals|USBGadgets|Lamps"/>
    <n v="59"/>
    <n v="59"/>
    <x v="26"/>
    <x v="11"/>
    <x v="504"/>
  </r>
  <r>
    <x v="648"/>
    <x v="634"/>
    <x v="3"/>
    <x v="25"/>
    <s v="Electronics|Mobiles&amp;Accessories|MobileAccessories|Chargers|AutomobileChargers"/>
    <n v="571"/>
    <n v="999"/>
    <x v="1"/>
    <x v="4"/>
    <x v="505"/>
  </r>
  <r>
    <x v="649"/>
    <x v="635"/>
    <x v="35"/>
    <x v="70"/>
    <s v="Electronics|HomeAudio|Speakers|BluetoothSpeakers"/>
    <n v="549"/>
    <n v="999"/>
    <x v="32"/>
    <x v="2"/>
    <x v="506"/>
  </r>
  <r>
    <x v="650"/>
    <x v="636"/>
    <x v="35"/>
    <x v="53"/>
    <s v="Computers&amp;Accessories|Accessories&amp;Peripherals|Keyboards,Mice&amp;InputDevices|Keyboard&amp;MouseSets"/>
    <n v="448"/>
    <n v="699"/>
    <x v="63"/>
    <x v="2"/>
    <x v="507"/>
  </r>
  <r>
    <x v="651"/>
    <x v="637"/>
    <x v="109"/>
    <x v="24"/>
    <s v="Electronics|Headphones,Earbuds&amp;Accessories|Headphones|In-Ear"/>
    <n v="1499"/>
    <n v="2999"/>
    <x v="8"/>
    <x v="7"/>
    <x v="508"/>
  </r>
  <r>
    <x v="652"/>
    <x v="638"/>
    <x v="34"/>
    <x v="81"/>
    <s v="Electronics|Cameras&amp;Photography|Accessories|Cleaners|CleaningKits"/>
    <n v="299"/>
    <n v="499"/>
    <x v="54"/>
    <x v="0"/>
    <x v="509"/>
  </r>
  <r>
    <x v="653"/>
    <x v="639"/>
    <x v="106"/>
    <x v="43"/>
    <s v="Computers&amp;Accessories|ExternalDevices&amp;DataStorage|PenDrives"/>
    <n v="579"/>
    <n v="1400"/>
    <x v="53"/>
    <x v="4"/>
    <x v="510"/>
  </r>
  <r>
    <x v="654"/>
    <x v="640"/>
    <x v="7"/>
    <x v="82"/>
    <s v="Electronics|Cameras&amp;Photography|SecurityCameras|DomeCameras"/>
    <n v="2499"/>
    <n v="3299"/>
    <x v="66"/>
    <x v="0"/>
    <x v="511"/>
  </r>
  <r>
    <x v="655"/>
    <x v="641"/>
    <x v="3"/>
    <x v="24"/>
    <s v="Electronics|Headphones,Earbuds&amp;Accessories|Headphones|In-Ear"/>
    <n v="1199"/>
    <n v="5999"/>
    <x v="27"/>
    <x v="2"/>
    <x v="512"/>
  </r>
  <r>
    <x v="656"/>
    <x v="642"/>
    <x v="10"/>
    <x v="73"/>
    <s v="Electronics|GeneralPurposeBatteries&amp;BatteryChargers|RechargeableBatteries"/>
    <n v="399"/>
    <n v="499"/>
    <x v="52"/>
    <x v="4"/>
    <x v="513"/>
  </r>
  <r>
    <x v="657"/>
    <x v="643"/>
    <x v="139"/>
    <x v="44"/>
    <s v="Computers&amp;Accessories|Accessories&amp;Peripherals|Keyboards,Mice&amp;InputDevices|Mice"/>
    <n v="279"/>
    <n v="375"/>
    <x v="55"/>
    <x v="4"/>
    <x v="514"/>
  </r>
  <r>
    <x v="658"/>
    <x v="644"/>
    <x v="107"/>
    <x v="19"/>
    <s v="Electronics|WearableTechnology|SmartWatches"/>
    <n v="2499"/>
    <n v="4999"/>
    <x v="8"/>
    <x v="2"/>
    <x v="345"/>
  </r>
  <r>
    <x v="659"/>
    <x v="645"/>
    <x v="145"/>
    <x v="72"/>
    <s v="OfficeProducts|OfficePaperProducts|Paper|Stationery|Notebooks,WritingPads&amp;Diaries|WireboundNotebooks"/>
    <n v="137"/>
    <n v="160"/>
    <x v="79"/>
    <x v="5"/>
    <x v="515"/>
  </r>
  <r>
    <x v="660"/>
    <x v="646"/>
    <x v="165"/>
    <x v="65"/>
    <s v="Computers&amp;Accessories|Accessories&amp;Peripherals|HardDiskBags"/>
    <n v="299"/>
    <n v="499"/>
    <x v="54"/>
    <x v="6"/>
    <x v="516"/>
  </r>
  <r>
    <x v="661"/>
    <x v="647"/>
    <x v="107"/>
    <x v="24"/>
    <s v="Electronics|Headphones,Earbuds&amp;Accessories|Headphones|In-Ear"/>
    <n v="1799"/>
    <n v="3999"/>
    <x v="10"/>
    <x v="2"/>
    <x v="517"/>
  </r>
  <r>
    <x v="662"/>
    <x v="648"/>
    <x v="109"/>
    <x v="70"/>
    <s v="Electronics|HomeAudio|Speakers|BluetoothSpeakers"/>
    <n v="1999"/>
    <n v="2999"/>
    <x v="9"/>
    <x v="4"/>
    <x v="518"/>
  </r>
  <r>
    <x v="663"/>
    <x v="649"/>
    <x v="166"/>
    <x v="34"/>
    <s v="Computers&amp;Accessories|Accessories&amp;Peripherals|TabletAccessories|ScreenProtectors"/>
    <n v="399"/>
    <n v="1499"/>
    <x v="25"/>
    <x v="3"/>
    <x v="519"/>
  </r>
  <r>
    <x v="664"/>
    <x v="650"/>
    <x v="167"/>
    <x v="83"/>
    <s v="Computers&amp;Accessories|Accessories&amp;Peripherals|PCGamingPeripherals|Gamepads"/>
    <n v="1699"/>
    <n v="3999"/>
    <x v="30"/>
    <x v="0"/>
    <x v="520"/>
  </r>
  <r>
    <x v="665"/>
    <x v="651"/>
    <x v="139"/>
    <x v="44"/>
    <s v="Computers&amp;Accessories|Accessories&amp;Peripherals|Keyboards,Mice&amp;InputDevices|Mice"/>
    <n v="699"/>
    <n v="995"/>
    <x v="76"/>
    <x v="6"/>
    <x v="521"/>
  </r>
  <r>
    <x v="666"/>
    <x v="652"/>
    <x v="7"/>
    <x v="68"/>
    <s v="Computers&amp;Accessories|NetworkingDevices|Routers"/>
    <n v="1149"/>
    <n v="1699"/>
    <x v="44"/>
    <x v="0"/>
    <x v="522"/>
  </r>
  <r>
    <x v="667"/>
    <x v="653"/>
    <x v="139"/>
    <x v="53"/>
    <s v="Computers&amp;Accessories|Accessories&amp;Peripherals|Keyboards,Mice&amp;InputDevices|Keyboard&amp;MouseSets"/>
    <n v="1495"/>
    <n v="1995"/>
    <x v="23"/>
    <x v="4"/>
    <x v="523"/>
  </r>
  <r>
    <x v="668"/>
    <x v="654"/>
    <x v="168"/>
    <x v="46"/>
    <s v="Computers&amp;Accessories|Accessories&amp;Peripherals|LaptopAccessories|Lapdesks"/>
    <n v="849"/>
    <n v="4999"/>
    <x v="57"/>
    <x v="1"/>
    <x v="524"/>
  </r>
  <r>
    <x v="669"/>
    <x v="655"/>
    <x v="149"/>
    <x v="84"/>
    <s v="OfficeProducts|OfficeElectronics|Calculators|Basic"/>
    <n v="440"/>
    <n v="440"/>
    <x v="26"/>
    <x v="6"/>
    <x v="525"/>
  </r>
  <r>
    <x v="670"/>
    <x v="656"/>
    <x v="19"/>
    <x v="46"/>
    <s v="Computers&amp;Accessories|Accessories&amp;Peripherals|LaptopAccessories|Lapdesks"/>
    <n v="599"/>
    <n v="3999"/>
    <x v="5"/>
    <x v="2"/>
    <x v="526"/>
  </r>
  <r>
    <x v="671"/>
    <x v="657"/>
    <x v="169"/>
    <x v="75"/>
    <s v="Computers&amp;Accessories|Accessories&amp;Peripherals|Adapters|USBtoUSBAdapters"/>
    <n v="149"/>
    <n v="399"/>
    <x v="11"/>
    <x v="1"/>
    <x v="527"/>
  </r>
  <r>
    <x v="672"/>
    <x v="658"/>
    <x v="19"/>
    <x v="45"/>
    <s v="Computers&amp;Accessories|Accessories&amp;Peripherals|Keyboards,Mice&amp;InputDevices|GraphicTablets"/>
    <n v="289"/>
    <n v="999"/>
    <x v="58"/>
    <x v="3"/>
    <x v="528"/>
  </r>
  <r>
    <x v="673"/>
    <x v="659"/>
    <x v="35"/>
    <x v="85"/>
    <s v="Computers&amp;Accessories|Accessories&amp;Peripherals|USBHubs"/>
    <n v="179"/>
    <n v="499"/>
    <x v="0"/>
    <x v="10"/>
    <x v="529"/>
  </r>
  <r>
    <x v="674"/>
    <x v="660"/>
    <x v="107"/>
    <x v="19"/>
    <s v="Electronics|WearableTechnology|SmartWatches"/>
    <n v="1499"/>
    <n v="4999"/>
    <x v="20"/>
    <x v="1"/>
    <x v="355"/>
  </r>
  <r>
    <x v="675"/>
    <x v="661"/>
    <x v="35"/>
    <x v="24"/>
    <s v="Electronics|Headphones,Earbuds&amp;Accessories|Headphones|In-Ear"/>
    <n v="399"/>
    <n v="699"/>
    <x v="1"/>
    <x v="10"/>
    <x v="530"/>
  </r>
  <r>
    <x v="676"/>
    <x v="662"/>
    <x v="167"/>
    <x v="62"/>
    <s v="Computers&amp;Accessories|Accessories&amp;Peripherals|PCGamingPeripherals|GamingMice"/>
    <n v="599"/>
    <n v="799"/>
    <x v="23"/>
    <x v="4"/>
    <x v="531"/>
  </r>
  <r>
    <x v="677"/>
    <x v="663"/>
    <x v="109"/>
    <x v="86"/>
    <s v="Computers&amp;Accessories|Accessories&amp;Peripherals|Audio&amp;VideoAccessories|PCMicrophones"/>
    <n v="949"/>
    <n v="2000"/>
    <x v="3"/>
    <x v="2"/>
    <x v="532"/>
  </r>
  <r>
    <x v="678"/>
    <x v="664"/>
    <x v="105"/>
    <x v="19"/>
    <s v="Electronics|WearableTechnology|SmartWatches"/>
    <n v="2499"/>
    <n v="9999"/>
    <x v="43"/>
    <x v="3"/>
    <x v="533"/>
  </r>
  <r>
    <x v="679"/>
    <x v="665"/>
    <x v="151"/>
    <x v="50"/>
    <s v="Electronics|GeneralPurposeBatteries&amp;BatteryChargers|DisposableBatteries"/>
    <n v="159"/>
    <n v="180"/>
    <x v="83"/>
    <x v="4"/>
    <x v="534"/>
  </r>
  <r>
    <x v="680"/>
    <x v="666"/>
    <x v="106"/>
    <x v="22"/>
    <s v="Electronics|Accessories|MemoryCards|MicroSD"/>
    <n v="1329"/>
    <n v="2900"/>
    <x v="34"/>
    <x v="6"/>
    <x v="535"/>
  </r>
  <r>
    <x v="681"/>
    <x v="667"/>
    <x v="4"/>
    <x v="85"/>
    <s v="Computers&amp;Accessories|Accessories&amp;Peripherals|USBHubs"/>
    <n v="570"/>
    <n v="999"/>
    <x v="1"/>
    <x v="0"/>
    <x v="536"/>
  </r>
  <r>
    <x v="682"/>
    <x v="668"/>
    <x v="170"/>
    <x v="87"/>
    <s v="Electronics|HomeAudio|Speakers|OutdoorSpeakers"/>
    <n v="899"/>
    <n v="1999"/>
    <x v="10"/>
    <x v="3"/>
    <x v="537"/>
  </r>
  <r>
    <x v="683"/>
    <x v="669"/>
    <x v="165"/>
    <x v="88"/>
    <s v="Computers&amp;Accessories|Accessories&amp;Peripherals|LaptopAccessories|Bags&amp;Sleeves|LaptopSleeves&amp;Slipcases"/>
    <n v="449"/>
    <n v="999"/>
    <x v="10"/>
    <x v="5"/>
    <x v="538"/>
  </r>
  <r>
    <x v="684"/>
    <x v="670"/>
    <x v="171"/>
    <x v="89"/>
    <s v="Computers&amp;Accessories|ExternalDevices&amp;DataStorage|ExternalMemoryCardReaders"/>
    <n v="549"/>
    <n v="999"/>
    <x v="32"/>
    <x v="4"/>
    <x v="539"/>
  </r>
  <r>
    <x v="685"/>
    <x v="671"/>
    <x v="7"/>
    <x v="68"/>
    <s v="Computers&amp;Accessories|NetworkingDevices|Routers"/>
    <n v="1529"/>
    <n v="2399"/>
    <x v="63"/>
    <x v="4"/>
    <x v="540"/>
  </r>
  <r>
    <x v="686"/>
    <x v="672"/>
    <x v="172"/>
    <x v="90"/>
    <s v="OfficeProducts|OfficePaperProducts|Paper|Stationery|Pens,Pencils&amp;WritingSupplies|Pens&amp;Refills|BottledInk"/>
    <n v="100"/>
    <n v="100"/>
    <x v="26"/>
    <x v="4"/>
    <x v="541"/>
  </r>
  <r>
    <x v="687"/>
    <x v="673"/>
    <x v="114"/>
    <x v="47"/>
    <s v="Computers&amp;Accessories|Accessories&amp;Peripherals|LaptopAccessories|NotebookComputerStands"/>
    <n v="299"/>
    <n v="1499"/>
    <x v="27"/>
    <x v="0"/>
    <x v="542"/>
  </r>
  <r>
    <x v="688"/>
    <x v="674"/>
    <x v="139"/>
    <x v="53"/>
    <s v="Computers&amp;Accessories|Accessories&amp;Peripherals|Keyboards,Mice&amp;InputDevices|Keyboard&amp;MouseSets"/>
    <n v="1295"/>
    <n v="1795"/>
    <x v="28"/>
    <x v="3"/>
    <x v="543"/>
  </r>
  <r>
    <x v="689"/>
    <x v="675"/>
    <x v="3"/>
    <x v="24"/>
    <s v="Electronics|Headphones,Earbuds&amp;Accessories|Headphones|In-Ear"/>
    <n v="699"/>
    <n v="999"/>
    <x v="76"/>
    <x v="3"/>
    <x v="544"/>
  </r>
  <r>
    <x v="690"/>
    <x v="676"/>
    <x v="173"/>
    <x v="91"/>
    <s v="OfficeProducts|OfficePaperProducts|Paper|Stationery|Notebooks,WritingPads&amp;Diaries|CompositionNotebooks"/>
    <n v="252"/>
    <n v="315"/>
    <x v="52"/>
    <x v="6"/>
    <x v="545"/>
  </r>
  <r>
    <x v="691"/>
    <x v="677"/>
    <x v="10"/>
    <x v="50"/>
    <s v="Electronics|GeneralPurposeBatteries&amp;BatteryChargers|DisposableBatteries"/>
    <n v="190"/>
    <n v="220"/>
    <x v="79"/>
    <x v="5"/>
    <x v="546"/>
  </r>
  <r>
    <x v="692"/>
    <x v="678"/>
    <x v="35"/>
    <x v="53"/>
    <s v="Computers&amp;Accessories|Accessories&amp;Peripherals|Keyboards,Mice&amp;InputDevices|Keyboard&amp;MouseSets"/>
    <n v="1299"/>
    <n v="1599"/>
    <x v="70"/>
    <x v="4"/>
    <x v="547"/>
  </r>
  <r>
    <x v="693"/>
    <x v="679"/>
    <x v="106"/>
    <x v="43"/>
    <s v="Computers&amp;Accessories|ExternalDevices&amp;DataStorage|PenDrives"/>
    <n v="729"/>
    <n v="1650"/>
    <x v="37"/>
    <x v="4"/>
    <x v="548"/>
  </r>
  <r>
    <x v="694"/>
    <x v="680"/>
    <x v="172"/>
    <x v="92"/>
    <s v="OfficeProducts|OfficePaperProducts|Paper|Stationery|Pens,Pencils&amp;WritingSupplies|Pens&amp;Refills|RetractableBallpointPens"/>
    <n v="480"/>
    <n v="600"/>
    <x v="52"/>
    <x v="4"/>
    <x v="549"/>
  </r>
  <r>
    <x v="695"/>
    <x v="681"/>
    <x v="174"/>
    <x v="46"/>
    <s v="Computers&amp;Accessories|Accessories&amp;Peripherals|LaptopAccessories|Lapdesks"/>
    <n v="999"/>
    <n v="2499"/>
    <x v="13"/>
    <x v="4"/>
    <x v="550"/>
  </r>
  <r>
    <x v="696"/>
    <x v="682"/>
    <x v="159"/>
    <x v="93"/>
    <s v="Computers&amp;Accessories|Accessories&amp;Peripherals|Cables&amp;Accessories|Cables|EthernetCables"/>
    <n v="238"/>
    <n v="699"/>
    <x v="46"/>
    <x v="5"/>
    <x v="551"/>
  </r>
  <r>
    <x v="697"/>
    <x v="683"/>
    <x v="117"/>
    <x v="53"/>
    <s v="Computers&amp;Accessories|Accessories&amp;Peripherals|Keyboards,Mice&amp;InputDevices|Keyboard&amp;MouseSets"/>
    <n v="1349"/>
    <n v="2198"/>
    <x v="17"/>
    <x v="1"/>
    <x v="552"/>
  </r>
  <r>
    <x v="698"/>
    <x v="684"/>
    <x v="175"/>
    <x v="86"/>
    <s v="Computers&amp;Accessories|Accessories&amp;Peripherals|Audio&amp;VideoAccessories|PCMicrophones"/>
    <n v="199"/>
    <n v="499"/>
    <x v="13"/>
    <x v="8"/>
    <x v="553"/>
  </r>
  <r>
    <x v="699"/>
    <x v="685"/>
    <x v="142"/>
    <x v="24"/>
    <s v="Electronics|Headphones,Earbuds&amp;Accessories|Headphones|In-Ear"/>
    <n v="1999"/>
    <n v="9999"/>
    <x v="27"/>
    <x v="7"/>
    <x v="554"/>
  </r>
  <r>
    <x v="700"/>
    <x v="686"/>
    <x v="114"/>
    <x v="31"/>
    <s v="Electronics|Mobiles&amp;Accessories|MobileAccessories|Stands"/>
    <n v="99"/>
    <n v="499"/>
    <x v="27"/>
    <x v="3"/>
    <x v="362"/>
  </r>
  <r>
    <x v="701"/>
    <x v="687"/>
    <x v="19"/>
    <x v="44"/>
    <s v="Computers&amp;Accessories|Accessories&amp;Peripherals|Keyboards,Mice&amp;InputDevices|Mice"/>
    <n v="499"/>
    <n v="1000"/>
    <x v="8"/>
    <x v="15"/>
    <x v="205"/>
  </r>
  <r>
    <x v="702"/>
    <x v="688"/>
    <x v="176"/>
    <x v="94"/>
    <s v="Computers&amp;Accessories|Components|Memory"/>
    <n v="1792"/>
    <n v="3500"/>
    <x v="75"/>
    <x v="6"/>
    <x v="555"/>
  </r>
  <r>
    <x v="703"/>
    <x v="689"/>
    <x v="177"/>
    <x v="95"/>
    <s v="Computers&amp;Accessories|Accessories&amp;Peripherals|UninterruptedPowerSupplies"/>
    <n v="3299"/>
    <n v="4100"/>
    <x v="52"/>
    <x v="2"/>
    <x v="556"/>
  </r>
  <r>
    <x v="704"/>
    <x v="690"/>
    <x v="173"/>
    <x v="91"/>
    <s v="OfficeProducts|OfficePaperProducts|Paper|Stationery|Notebooks,WritingPads&amp;Diaries|CompositionNotebooks"/>
    <n v="125"/>
    <n v="180"/>
    <x v="39"/>
    <x v="5"/>
    <x v="557"/>
  </r>
  <r>
    <x v="705"/>
    <x v="691"/>
    <x v="35"/>
    <x v="44"/>
    <s v="Computers&amp;Accessories|Accessories&amp;Peripherals|Keyboards,Mice&amp;InputDevices|Mice"/>
    <n v="399"/>
    <n v="1190"/>
    <x v="46"/>
    <x v="3"/>
    <x v="558"/>
  </r>
  <r>
    <x v="706"/>
    <x v="692"/>
    <x v="142"/>
    <x v="24"/>
    <s v="Electronics|Headphones,Earbuds&amp;Accessories|Headphones|In-Ear"/>
    <n v="1199"/>
    <n v="7999"/>
    <x v="5"/>
    <x v="9"/>
    <x v="559"/>
  </r>
  <r>
    <x v="707"/>
    <x v="693"/>
    <x v="178"/>
    <x v="45"/>
    <s v="Computers&amp;Accessories|Accessories&amp;Peripherals|Keyboards,Mice&amp;InputDevices|GraphicTablets"/>
    <n v="235"/>
    <n v="1599"/>
    <x v="5"/>
    <x v="11"/>
    <x v="560"/>
  </r>
  <r>
    <x v="708"/>
    <x v="694"/>
    <x v="34"/>
    <x v="46"/>
    <s v="Computers&amp;Accessories|Accessories&amp;Peripherals|LaptopAccessories|Lapdesks"/>
    <n v="549"/>
    <n v="1999"/>
    <x v="25"/>
    <x v="9"/>
    <x v="561"/>
  </r>
  <r>
    <x v="709"/>
    <x v="695"/>
    <x v="164"/>
    <x v="80"/>
    <s v="Computers&amp;Accessories|Accessories&amp;Peripherals|USBGadgets|Lamps"/>
    <n v="89"/>
    <n v="99"/>
    <x v="78"/>
    <x v="0"/>
    <x v="562"/>
  </r>
  <r>
    <x v="710"/>
    <x v="696"/>
    <x v="107"/>
    <x v="24"/>
    <s v="Electronics|Headphones,Earbuds&amp;Accessories|Headphones|In-Ear"/>
    <n v="1299"/>
    <n v="2999"/>
    <x v="48"/>
    <x v="11"/>
    <x v="563"/>
  </r>
  <r>
    <x v="711"/>
    <x v="697"/>
    <x v="24"/>
    <x v="64"/>
    <s v="Computers&amp;Accessories|Accessories&amp;Peripherals|Keyboards,Mice&amp;InputDevices|Keyboard&amp;MiceAccessories|MousePads"/>
    <n v="230"/>
    <n v="999"/>
    <x v="36"/>
    <x v="0"/>
    <x v="564"/>
  </r>
  <r>
    <x v="712"/>
    <x v="698"/>
    <x v="34"/>
    <x v="96"/>
    <s v="Electronics|Headphones,Earbuds&amp;Accessories|Cases"/>
    <n v="119"/>
    <n v="499"/>
    <x v="60"/>
    <x v="4"/>
    <x v="565"/>
  </r>
  <r>
    <x v="713"/>
    <x v="699"/>
    <x v="106"/>
    <x v="97"/>
    <s v="Electronics|Accessories|MemoryCards|SecureDigitalCards"/>
    <n v="449"/>
    <n v="800"/>
    <x v="15"/>
    <x v="5"/>
    <x v="566"/>
  </r>
  <r>
    <x v="714"/>
    <x v="700"/>
    <x v="150"/>
    <x v="98"/>
    <s v="Electronics|Mobiles&amp;Accessories|MobileAccessories|Photo&amp;VideoAccessories|Flashes&amp;SelfieLights|SelfieLights"/>
    <n v="1699"/>
    <n v="3495"/>
    <x v="24"/>
    <x v="3"/>
    <x v="567"/>
  </r>
  <r>
    <x v="715"/>
    <x v="701"/>
    <x v="145"/>
    <x v="91"/>
    <s v="OfficeProducts|OfficePaperProducts|Paper|Stationery|Notebooks,WritingPads&amp;Diaries|CompositionNotebooks"/>
    <n v="561"/>
    <n v="720"/>
    <x v="47"/>
    <x v="5"/>
    <x v="568"/>
  </r>
  <r>
    <x v="716"/>
    <x v="702"/>
    <x v="86"/>
    <x v="44"/>
    <s v="Computers&amp;Accessories|Accessories&amp;Peripherals|Keyboards,Mice&amp;InputDevices|Mice"/>
    <n v="289"/>
    <n v="590"/>
    <x v="24"/>
    <x v="5"/>
    <x v="569"/>
  </r>
  <r>
    <x v="717"/>
    <x v="703"/>
    <x v="138"/>
    <x v="47"/>
    <s v="Computers&amp;Accessories|Accessories&amp;Peripherals|LaptopAccessories|NotebookComputerStands"/>
    <n v="599"/>
    <n v="1999"/>
    <x v="20"/>
    <x v="5"/>
    <x v="570"/>
  </r>
  <r>
    <x v="718"/>
    <x v="704"/>
    <x v="179"/>
    <x v="54"/>
    <s v="Computers&amp;Accessories|ExternalDevices&amp;DataStorage|ExternalHardDisks"/>
    <n v="5599"/>
    <n v="7350"/>
    <x v="66"/>
    <x v="5"/>
    <x v="571"/>
  </r>
  <r>
    <x v="719"/>
    <x v="705"/>
    <x v="139"/>
    <x v="99"/>
    <s v="Computers&amp;Accessories|Accessories&amp;Peripherals|Audio&amp;VideoAccessories|Webcams&amp;VoIPEquipment|Webcams"/>
    <n v="1990"/>
    <n v="2595"/>
    <x v="7"/>
    <x v="4"/>
    <x v="572"/>
  </r>
  <r>
    <x v="720"/>
    <x v="706"/>
    <x v="4"/>
    <x v="85"/>
    <s v="Computers&amp;Accessories|Accessories&amp;Peripherals|USBHubs"/>
    <n v="499"/>
    <n v="799"/>
    <x v="16"/>
    <x v="4"/>
    <x v="573"/>
  </r>
  <r>
    <x v="721"/>
    <x v="707"/>
    <x v="165"/>
    <x v="88"/>
    <s v="Computers&amp;Accessories|Accessories&amp;Peripherals|LaptopAccessories|Bags&amp;Sleeves|LaptopSleeves&amp;Slipcases"/>
    <n v="449"/>
    <n v="999"/>
    <x v="10"/>
    <x v="4"/>
    <x v="574"/>
  </r>
  <r>
    <x v="722"/>
    <x v="708"/>
    <x v="180"/>
    <x v="100"/>
    <s v="Computers&amp;Accessories|Accessories&amp;Peripherals|LaptopAccessories|CoolingPads"/>
    <n v="999"/>
    <n v="1999"/>
    <x v="8"/>
    <x v="0"/>
    <x v="575"/>
  </r>
  <r>
    <x v="723"/>
    <x v="709"/>
    <x v="34"/>
    <x v="40"/>
    <s v="Computers&amp;Accessories|Accessories&amp;Peripherals|LaptopAccessories|CameraPrivacyCovers"/>
    <n v="69"/>
    <n v="299"/>
    <x v="36"/>
    <x v="4"/>
    <x v="576"/>
  </r>
  <r>
    <x v="724"/>
    <x v="710"/>
    <x v="117"/>
    <x v="44"/>
    <s v="Computers&amp;Accessories|Accessories&amp;Peripherals|Keyboards,Mice&amp;InputDevices|Mice"/>
    <n v="899"/>
    <n v="1499"/>
    <x v="54"/>
    <x v="0"/>
    <x v="577"/>
  </r>
  <r>
    <x v="725"/>
    <x v="711"/>
    <x v="181"/>
    <x v="49"/>
    <s v="MusicalInstruments|Microphones|Condenser"/>
    <n v="478"/>
    <n v="699"/>
    <x v="44"/>
    <x v="11"/>
    <x v="578"/>
  </r>
  <r>
    <x v="726"/>
    <x v="712"/>
    <x v="182"/>
    <x v="101"/>
    <s v="Computers&amp;Accessories|Accessories&amp;Peripherals|LaptopAccessories"/>
    <n v="1399"/>
    <n v="2490"/>
    <x v="15"/>
    <x v="4"/>
    <x v="579"/>
  </r>
  <r>
    <x v="727"/>
    <x v="713"/>
    <x v="34"/>
    <x v="31"/>
    <s v="Computers&amp;Accessories|Accessories&amp;Peripherals|TabletAccessories|Stands"/>
    <n v="149"/>
    <n v="499"/>
    <x v="20"/>
    <x v="3"/>
    <x v="580"/>
  </r>
  <r>
    <x v="728"/>
    <x v="714"/>
    <x v="3"/>
    <x v="70"/>
    <s v="Electronics|HomeAudio|Speakers|BluetoothSpeakers"/>
    <n v="1799"/>
    <n v="4990"/>
    <x v="0"/>
    <x v="0"/>
    <x v="581"/>
  </r>
  <r>
    <x v="729"/>
    <x v="715"/>
    <x v="183"/>
    <x v="102"/>
    <s v="HomeImprovement|Electrical|Adapters&amp;Multi-Outlets"/>
    <n v="425"/>
    <n v="999"/>
    <x v="48"/>
    <x v="1"/>
    <x v="87"/>
  </r>
  <r>
    <x v="730"/>
    <x v="716"/>
    <x v="3"/>
    <x v="87"/>
    <s v="Electronics|HomeAudio|Speakers|OutdoorSpeakers"/>
    <n v="999"/>
    <n v="2490"/>
    <x v="13"/>
    <x v="3"/>
    <x v="582"/>
  </r>
  <r>
    <x v="731"/>
    <x v="717"/>
    <x v="4"/>
    <x v="45"/>
    <s v="Computers&amp;Accessories|Accessories&amp;Peripherals|Keyboards,Mice&amp;InputDevices|GraphicTablets"/>
    <n v="378"/>
    <n v="999"/>
    <x v="33"/>
    <x v="3"/>
    <x v="472"/>
  </r>
  <r>
    <x v="732"/>
    <x v="718"/>
    <x v="184"/>
    <x v="103"/>
    <s v="OfficeProducts|OfficePaperProducts|Paper|Copy&amp;PrintingPaper|ColouredPaper"/>
    <n v="99"/>
    <n v="99"/>
    <x v="26"/>
    <x v="4"/>
    <x v="583"/>
  </r>
  <r>
    <x v="733"/>
    <x v="719"/>
    <x v="185"/>
    <x v="68"/>
    <s v="Computers&amp;Accessories|NetworkingDevices|Routers"/>
    <n v="1499"/>
    <n v="2999"/>
    <x v="8"/>
    <x v="6"/>
    <x v="584"/>
  </r>
  <r>
    <x v="734"/>
    <x v="720"/>
    <x v="176"/>
    <x v="104"/>
    <s v="Computers&amp;Accessories|Components|InternalSolidStateDrives"/>
    <n v="1815"/>
    <n v="3100"/>
    <x v="19"/>
    <x v="6"/>
    <x v="585"/>
  </r>
  <r>
    <x v="735"/>
    <x v="721"/>
    <x v="145"/>
    <x v="91"/>
    <s v="OfficeProducts|OfficePaperProducts|Paper|Stationery|Notebooks,WritingPads&amp;Diaries|CompositionNotebooks"/>
    <n v="67"/>
    <n v="75"/>
    <x v="68"/>
    <x v="3"/>
    <x v="100"/>
  </r>
  <r>
    <x v="736"/>
    <x v="722"/>
    <x v="4"/>
    <x v="46"/>
    <s v="Computers&amp;Accessories|Accessories&amp;Peripherals|LaptopAccessories|Lapdesks"/>
    <n v="1889"/>
    <n v="2699"/>
    <x v="76"/>
    <x v="4"/>
    <x v="586"/>
  </r>
  <r>
    <x v="737"/>
    <x v="723"/>
    <x v="35"/>
    <x v="24"/>
    <s v="Electronics|Headphones,Earbuds&amp;Accessories|Headphones|In-Ear"/>
    <n v="499"/>
    <n v="1499"/>
    <x v="29"/>
    <x v="9"/>
    <x v="587"/>
  </r>
  <r>
    <x v="738"/>
    <x v="724"/>
    <x v="186"/>
    <x v="64"/>
    <s v="Computers&amp;Accessories|Accessories&amp;Peripherals|Keyboards,Mice&amp;InputDevices|Keyboard&amp;MiceAccessories|MousePads"/>
    <n v="499"/>
    <n v="999"/>
    <x v="8"/>
    <x v="5"/>
    <x v="588"/>
  </r>
  <r>
    <x v="739"/>
    <x v="725"/>
    <x v="147"/>
    <x v="54"/>
    <s v="Computers&amp;Accessories|ExternalDevices&amp;DataStorage|ExternalHardDisks"/>
    <n v="5799"/>
    <n v="7999"/>
    <x v="28"/>
    <x v="6"/>
    <x v="589"/>
  </r>
  <r>
    <x v="740"/>
    <x v="726"/>
    <x v="35"/>
    <x v="105"/>
    <s v="Electronics|HomeAudio|Speakers|MultimediaSpeakerSystems"/>
    <n v="499"/>
    <n v="799"/>
    <x v="16"/>
    <x v="2"/>
    <x v="590"/>
  </r>
  <r>
    <x v="741"/>
    <x v="727"/>
    <x v="187"/>
    <x v="45"/>
    <s v="Computers&amp;Accessories|Accessories&amp;Peripherals|Keyboards,Mice&amp;InputDevices|GraphicTablets"/>
    <n v="249"/>
    <n v="600"/>
    <x v="53"/>
    <x v="1"/>
    <x v="591"/>
  </r>
  <r>
    <x v="31"/>
    <x v="31"/>
    <x v="1"/>
    <x v="0"/>
    <s v="Computers&amp;Accessories|Accessories&amp;Peripherals|Cables&amp;Accessories|Cables|USBCables"/>
    <n v="179"/>
    <n v="499"/>
    <x v="0"/>
    <x v="1"/>
    <x v="592"/>
  </r>
  <r>
    <x v="742"/>
    <x v="728"/>
    <x v="179"/>
    <x v="54"/>
    <s v="Computers&amp;Accessories|ExternalDevices&amp;DataStorage|ExternalHardDisks"/>
    <n v="4449"/>
    <n v="5734"/>
    <x v="47"/>
    <x v="5"/>
    <x v="593"/>
  </r>
  <r>
    <x v="743"/>
    <x v="729"/>
    <x v="167"/>
    <x v="83"/>
    <s v="Computers&amp;Accessories|Accessories&amp;Peripherals|PCGamingPeripherals|Gamepads"/>
    <n v="299"/>
    <n v="550"/>
    <x v="18"/>
    <x v="13"/>
    <x v="594"/>
  </r>
  <r>
    <x v="744"/>
    <x v="730"/>
    <x v="86"/>
    <x v="44"/>
    <s v="Computers&amp;Accessories|Accessories&amp;Peripherals|Keyboards,Mice&amp;InputDevices|Mice"/>
    <n v="629"/>
    <n v="1390"/>
    <x v="10"/>
    <x v="5"/>
    <x v="595"/>
  </r>
  <r>
    <x v="745"/>
    <x v="731"/>
    <x v="139"/>
    <x v="48"/>
    <s v="Computers&amp;Accessories|Accessories&amp;Peripherals|Keyboards,Mice&amp;InputDevices|Keyboards"/>
    <n v="2595"/>
    <n v="3295"/>
    <x v="72"/>
    <x v="5"/>
    <x v="596"/>
  </r>
  <r>
    <x v="746"/>
    <x v="732"/>
    <x v="188"/>
    <x v="68"/>
    <s v="Computers&amp;Accessories|NetworkingDevices|Routers"/>
    <n v="1799"/>
    <n v="2911"/>
    <x v="16"/>
    <x v="4"/>
    <x v="597"/>
  </r>
  <r>
    <x v="747"/>
    <x v="733"/>
    <x v="146"/>
    <x v="77"/>
    <s v="OfficeProducts|OfficePaperProducts|Paper|Stationery|Notebooks,WritingPads&amp;Diaries|Notepads&amp;MemoBooks"/>
    <n v="90"/>
    <n v="175"/>
    <x v="75"/>
    <x v="5"/>
    <x v="598"/>
  </r>
  <r>
    <x v="748"/>
    <x v="734"/>
    <x v="189"/>
    <x v="46"/>
    <s v="Computers&amp;Accessories|Accessories&amp;Peripherals|LaptopAccessories|Lapdesks"/>
    <n v="599"/>
    <n v="599"/>
    <x v="26"/>
    <x v="1"/>
    <x v="599"/>
  </r>
  <r>
    <x v="749"/>
    <x v="735"/>
    <x v="105"/>
    <x v="19"/>
    <s v="Electronics|WearableTechnology|SmartWatches"/>
    <n v="1999"/>
    <n v="7999"/>
    <x v="43"/>
    <x v="0"/>
    <x v="600"/>
  </r>
  <r>
    <x v="750"/>
    <x v="736"/>
    <x v="23"/>
    <x v="106"/>
    <s v="Computers&amp;Accessories|NetworkingDevices|DataCards&amp;Dongles"/>
    <n v="2099"/>
    <n v="3250"/>
    <x v="31"/>
    <x v="11"/>
    <x v="601"/>
  </r>
  <r>
    <x v="751"/>
    <x v="737"/>
    <x v="34"/>
    <x v="107"/>
    <s v="Computers&amp;Accessories|Accessories&amp;Peripherals|LaptopAccessories|LaptopChargers&amp;PowerSupplies"/>
    <n v="179"/>
    <n v="499"/>
    <x v="0"/>
    <x v="3"/>
    <x v="602"/>
  </r>
  <r>
    <x v="752"/>
    <x v="738"/>
    <x v="139"/>
    <x v="53"/>
    <s v="Computers&amp;Accessories|Accessories&amp;Peripherals|Keyboards,Mice&amp;InputDevices|Keyboard&amp;MouseSets"/>
    <n v="1345"/>
    <n v="2295"/>
    <x v="19"/>
    <x v="0"/>
    <x v="603"/>
  </r>
  <r>
    <x v="753"/>
    <x v="739"/>
    <x v="150"/>
    <x v="59"/>
    <s v="Electronics|Cameras&amp;Photography|Accessories|Tripods&amp;Monopods|TripodLegs"/>
    <n v="349"/>
    <n v="995"/>
    <x v="6"/>
    <x v="0"/>
    <x v="604"/>
  </r>
  <r>
    <x v="754"/>
    <x v="740"/>
    <x v="190"/>
    <x v="93"/>
    <s v="Computers&amp;Accessories|Accessories&amp;Peripherals|Cables&amp;Accessories|Cables|EthernetCables"/>
    <n v="287"/>
    <n v="499"/>
    <x v="21"/>
    <x v="5"/>
    <x v="605"/>
  </r>
  <r>
    <x v="755"/>
    <x v="741"/>
    <x v="191"/>
    <x v="43"/>
    <s v="Computers&amp;Accessories|ExternalDevices&amp;DataStorage|PenDrives"/>
    <n v="349"/>
    <n v="450"/>
    <x v="47"/>
    <x v="3"/>
    <x v="606"/>
  </r>
  <r>
    <x v="756"/>
    <x v="742"/>
    <x v="10"/>
    <x v="50"/>
    <s v="Electronics|GeneralPurposeBatteries&amp;BatteryChargers|DisposableBatteries"/>
    <n v="879"/>
    <n v="1109"/>
    <x v="72"/>
    <x v="5"/>
    <x v="607"/>
  </r>
  <r>
    <x v="757"/>
    <x v="743"/>
    <x v="192"/>
    <x v="73"/>
    <s v="Electronics|GeneralPurposeBatteries&amp;BatteryChargers|RechargeableBatteries"/>
    <n v="250"/>
    <n v="250"/>
    <x v="26"/>
    <x v="2"/>
    <x v="608"/>
  </r>
  <r>
    <x v="758"/>
    <x v="744"/>
    <x v="35"/>
    <x v="24"/>
    <s v="Electronics|Headphones,Earbuds&amp;Accessories|Headphones|In-Ear"/>
    <n v="199"/>
    <n v="499"/>
    <x v="13"/>
    <x v="9"/>
    <x v="609"/>
  </r>
  <r>
    <x v="37"/>
    <x v="37"/>
    <x v="2"/>
    <x v="0"/>
    <s v="Computers&amp;Accessories|Accessories&amp;Peripherals|Cables&amp;Accessories|Cables|USBCables"/>
    <n v="199"/>
    <n v="999"/>
    <x v="27"/>
    <x v="1"/>
    <x v="610"/>
  </r>
  <r>
    <x v="759"/>
    <x v="745"/>
    <x v="24"/>
    <x v="107"/>
    <s v="Computers&amp;Accessories|Accessories&amp;Peripherals|LaptopAccessories|LaptopChargers&amp;PowerSupplies"/>
    <n v="149"/>
    <n v="999"/>
    <x v="5"/>
    <x v="12"/>
    <x v="611"/>
  </r>
  <r>
    <x v="760"/>
    <x v="746"/>
    <x v="4"/>
    <x v="45"/>
    <s v="Computers&amp;Accessories|Accessories&amp;Peripherals|Keyboards,Mice&amp;InputDevices|GraphicTablets"/>
    <n v="469"/>
    <n v="1499"/>
    <x v="12"/>
    <x v="3"/>
    <x v="612"/>
  </r>
  <r>
    <x v="761"/>
    <x v="747"/>
    <x v="193"/>
    <x v="85"/>
    <s v="Computers&amp;Accessories|Accessories&amp;Peripherals|USBHubs"/>
    <n v="1187"/>
    <n v="1929"/>
    <x v="16"/>
    <x v="3"/>
    <x v="613"/>
  </r>
  <r>
    <x v="762"/>
    <x v="748"/>
    <x v="35"/>
    <x v="108"/>
    <s v="Computers&amp;Accessories|Accessories&amp;Peripherals|Audio&amp;VideoAccessories|PCSpeakers"/>
    <n v="849"/>
    <n v="1499"/>
    <x v="1"/>
    <x v="1"/>
    <x v="614"/>
  </r>
  <r>
    <x v="763"/>
    <x v="749"/>
    <x v="117"/>
    <x v="44"/>
    <s v="Computers&amp;Accessories|Accessories&amp;Peripherals|Keyboards,Mice&amp;InputDevices|Mice"/>
    <n v="328"/>
    <n v="399"/>
    <x v="74"/>
    <x v="3"/>
    <x v="615"/>
  </r>
  <r>
    <x v="764"/>
    <x v="750"/>
    <x v="194"/>
    <x v="46"/>
    <s v="Computers&amp;Accessories|Accessories&amp;Peripherals|LaptopAccessories|Lapdesks"/>
    <n v="269"/>
    <n v="699"/>
    <x v="33"/>
    <x v="1"/>
    <x v="616"/>
  </r>
  <r>
    <x v="765"/>
    <x v="751"/>
    <x v="195"/>
    <x v="109"/>
    <s v="Electronics|Cameras&amp;Photography|Accessories|Batteries&amp;Chargers|BatteryChargers"/>
    <n v="299"/>
    <n v="400"/>
    <x v="23"/>
    <x v="11"/>
    <x v="617"/>
  </r>
  <r>
    <x v="766"/>
    <x v="752"/>
    <x v="196"/>
    <x v="96"/>
    <s v="Computers&amp;Accessories|Accessories&amp;Peripherals|TabletAccessories|Bags,Cases&amp;Sleeves|Cases"/>
    <n v="549"/>
    <n v="1499"/>
    <x v="11"/>
    <x v="4"/>
    <x v="618"/>
  </r>
  <r>
    <x v="767"/>
    <x v="753"/>
    <x v="145"/>
    <x v="72"/>
    <s v="OfficeProducts|OfficePaperProducts|Paper|Stationery|Notebooks,WritingPads&amp;Diaries|WireboundNotebooks"/>
    <n v="114"/>
    <n v="120"/>
    <x v="8"/>
    <x v="0"/>
    <x v="619"/>
  </r>
  <r>
    <x v="768"/>
    <x v="754"/>
    <x v="197"/>
    <x v="110"/>
    <s v="OfficeProducts|OfficePaperProducts|Paper|Stationery|Pens,Pencils&amp;WritingSupplies|Pens&amp;Refills|StickBallpointPens"/>
    <n v="120"/>
    <n v="120"/>
    <x v="26"/>
    <x v="3"/>
    <x v="620"/>
  </r>
  <r>
    <x v="40"/>
    <x v="40"/>
    <x v="8"/>
    <x v="0"/>
    <s v="Computers&amp;Accessories|Accessories&amp;Peripherals|Cables&amp;Accessories|Cables|USBCables"/>
    <n v="209"/>
    <n v="695"/>
    <x v="20"/>
    <x v="6"/>
    <x v="621"/>
  </r>
  <r>
    <x v="769"/>
    <x v="755"/>
    <x v="139"/>
    <x v="44"/>
    <s v="Computers&amp;Accessories|Accessories&amp;Peripherals|Keyboards,Mice&amp;InputDevices|Mice"/>
    <n v="1490"/>
    <n v="2295"/>
    <x v="31"/>
    <x v="13"/>
    <x v="622"/>
  </r>
  <r>
    <x v="770"/>
    <x v="756"/>
    <x v="198"/>
    <x v="111"/>
    <s v="Home&amp;Kitchen|CraftMaterials|DrawingMaterials|DrawingMedia|Pencils|WoodenPencils"/>
    <n v="99"/>
    <n v="99"/>
    <x v="26"/>
    <x v="4"/>
    <x v="623"/>
  </r>
  <r>
    <x v="771"/>
    <x v="757"/>
    <x v="35"/>
    <x v="44"/>
    <s v="Computers&amp;Accessories|Accessories&amp;Peripherals|Keyboards,Mice&amp;InputDevices|Mice"/>
    <n v="149"/>
    <n v="249"/>
    <x v="54"/>
    <x v="1"/>
    <x v="624"/>
  </r>
  <r>
    <x v="772"/>
    <x v="758"/>
    <x v="199"/>
    <x v="62"/>
    <s v="Computers&amp;Accessories|Accessories&amp;Peripherals|PCGamingPeripherals|GamingMice"/>
    <n v="575"/>
    <n v="2799"/>
    <x v="71"/>
    <x v="0"/>
    <x v="625"/>
  </r>
  <r>
    <x v="773"/>
    <x v="759"/>
    <x v="200"/>
    <x v="92"/>
    <s v="OfficeProducts|OfficePaperProducts|Paper|Stationery|Pens,Pencils&amp;WritingSupplies|Pens&amp;Refills|RetractableBallpointPens"/>
    <n v="178"/>
    <n v="210"/>
    <x v="59"/>
    <x v="4"/>
    <x v="626"/>
  </r>
  <r>
    <x v="774"/>
    <x v="760"/>
    <x v="3"/>
    <x v="24"/>
    <s v="Electronics|Headphones,Earbuds&amp;Accessories|Headphones|In-Ear"/>
    <n v="1599"/>
    <n v="3490"/>
    <x v="34"/>
    <x v="7"/>
    <x v="627"/>
  </r>
  <r>
    <x v="775"/>
    <x v="761"/>
    <x v="142"/>
    <x v="24"/>
    <s v="Electronics|Headphones,Earbuds&amp;Accessories|Headphones|In-Ear"/>
    <n v="499"/>
    <n v="1299"/>
    <x v="33"/>
    <x v="2"/>
    <x v="560"/>
  </r>
  <r>
    <x v="776"/>
    <x v="762"/>
    <x v="201"/>
    <x v="64"/>
    <s v="Computers&amp;Accessories|Accessories&amp;Peripherals|Keyboards,Mice&amp;InputDevices|Keyboard&amp;MiceAccessories|MousePads"/>
    <n v="199"/>
    <n v="499"/>
    <x v="13"/>
    <x v="4"/>
    <x v="628"/>
  </r>
  <r>
    <x v="777"/>
    <x v="763"/>
    <x v="107"/>
    <x v="19"/>
    <s v="Electronics|WearableTechnology|SmartWatches"/>
    <n v="2499"/>
    <n v="5999"/>
    <x v="30"/>
    <x v="3"/>
    <x v="629"/>
  </r>
  <r>
    <x v="778"/>
    <x v="764"/>
    <x v="24"/>
    <x v="112"/>
    <s v="Computers&amp;Accessories|Components|InternalHardDrives"/>
    <n v="199"/>
    <n v="999"/>
    <x v="27"/>
    <x v="0"/>
    <x v="630"/>
  </r>
  <r>
    <x v="779"/>
    <x v="765"/>
    <x v="106"/>
    <x v="22"/>
    <s v="Electronics|Accessories|MemoryCards|MicroSD"/>
    <n v="939"/>
    <n v="1800"/>
    <x v="61"/>
    <x v="6"/>
    <x v="631"/>
  </r>
  <r>
    <x v="780"/>
    <x v="766"/>
    <x v="105"/>
    <x v="19"/>
    <s v="Electronics|WearableTechnology|SmartWatches"/>
    <n v="2499"/>
    <n v="9999"/>
    <x v="43"/>
    <x v="1"/>
    <x v="632"/>
  </r>
  <r>
    <x v="781"/>
    <x v="767"/>
    <x v="86"/>
    <x v="44"/>
    <s v="Computers&amp;Accessories|Accessories&amp;Peripherals|Keyboards,Mice&amp;InputDevices|Mice"/>
    <n v="1439"/>
    <n v="2890"/>
    <x v="8"/>
    <x v="6"/>
    <x v="633"/>
  </r>
  <r>
    <x v="782"/>
    <x v="768"/>
    <x v="142"/>
    <x v="24"/>
    <s v="Electronics|Headphones,Earbuds&amp;Accessories|Headphones|In-Ear"/>
    <n v="1099"/>
    <n v="5999"/>
    <x v="62"/>
    <x v="12"/>
    <x v="634"/>
  </r>
  <r>
    <x v="783"/>
    <x v="769"/>
    <x v="145"/>
    <x v="72"/>
    <s v="OfficeProducts|OfficePaperProducts|Paper|Stationery|Notebooks,WritingPads&amp;Diaries|WireboundNotebooks"/>
    <n v="157"/>
    <n v="160"/>
    <x v="52"/>
    <x v="6"/>
    <x v="635"/>
  </r>
  <r>
    <x v="784"/>
    <x v="770"/>
    <x v="93"/>
    <x v="61"/>
    <s v="Computers&amp;Accessories|Accessories&amp;Peripherals|Keyboards,Mice&amp;InputDevices|Keyboard&amp;MiceAccessories|DustCovers"/>
    <n v="115"/>
    <n v="999"/>
    <x v="51"/>
    <x v="8"/>
    <x v="636"/>
  </r>
  <r>
    <x v="785"/>
    <x v="771"/>
    <x v="202"/>
    <x v="45"/>
    <s v="Computers&amp;Accessories|Accessories&amp;Peripherals|Keyboards,Mice&amp;InputDevices|GraphicTablets"/>
    <n v="175"/>
    <n v="499"/>
    <x v="6"/>
    <x v="3"/>
    <x v="637"/>
  </r>
  <r>
    <x v="786"/>
    <x v="772"/>
    <x v="203"/>
    <x v="82"/>
    <s v="Electronics|Cameras&amp;Photography|SecurityCameras|DomeCameras"/>
    <n v="1999"/>
    <n v="4700"/>
    <x v="48"/>
    <x v="11"/>
    <x v="638"/>
  </r>
  <r>
    <x v="787"/>
    <x v="773"/>
    <x v="117"/>
    <x v="113"/>
    <s v="Computers&amp;Accessories|Printers,Inks&amp;Accessories|Printers"/>
    <n v="3999"/>
    <n v="4332.96"/>
    <x v="27"/>
    <x v="12"/>
    <x v="639"/>
  </r>
  <r>
    <x v="788"/>
    <x v="774"/>
    <x v="18"/>
    <x v="68"/>
    <s v="Computers&amp;Accessories|NetworkingDevices|Routers"/>
    <n v="899"/>
    <n v="1800"/>
    <x v="8"/>
    <x v="3"/>
    <x v="640"/>
  </r>
  <r>
    <x v="789"/>
    <x v="775"/>
    <x v="204"/>
    <x v="64"/>
    <s v="Computers&amp;Accessories|Accessories&amp;Peripherals|Keyboards,Mice&amp;InputDevices|Keyboard&amp;MiceAccessories|MousePads"/>
    <n v="299"/>
    <n v="990"/>
    <x v="20"/>
    <x v="6"/>
    <x v="641"/>
  </r>
  <r>
    <x v="790"/>
    <x v="776"/>
    <x v="205"/>
    <x v="45"/>
    <s v="Computers&amp;Accessories|Accessories&amp;Peripherals|Keyboards,Mice&amp;InputDevices|GraphicTablets"/>
    <n v="3303"/>
    <n v="4699"/>
    <x v="76"/>
    <x v="5"/>
    <x v="642"/>
  </r>
  <r>
    <x v="791"/>
    <x v="777"/>
    <x v="86"/>
    <x v="99"/>
    <s v="Computers&amp;Accessories|Accessories&amp;Peripherals|Audio&amp;VideoAccessories|Webcams&amp;VoIPEquipment|Webcams"/>
    <n v="1890"/>
    <n v="5490"/>
    <x v="46"/>
    <x v="3"/>
    <x v="643"/>
  </r>
  <r>
    <x v="792"/>
    <x v="778"/>
    <x v="172"/>
    <x v="90"/>
    <s v="OfficeProducts|OfficePaperProducts|Paper|Stationery|Pens,Pencils&amp;WritingSupplies|Pens&amp;Refills|BottledInk"/>
    <n v="90"/>
    <n v="100"/>
    <x v="78"/>
    <x v="4"/>
    <x v="644"/>
  </r>
  <r>
    <x v="793"/>
    <x v="779"/>
    <x v="60"/>
    <x v="24"/>
    <s v="Electronics|Headphones,Earbuds&amp;Accessories|Headphones|In-Ear"/>
    <n v="1599"/>
    <n v="2790"/>
    <x v="1"/>
    <x v="9"/>
    <x v="645"/>
  </r>
  <r>
    <x v="794"/>
    <x v="780"/>
    <x v="206"/>
    <x v="100"/>
    <s v="Computers&amp;Accessories|Accessories&amp;Peripherals|LaptopAccessories|CoolingPads"/>
    <n v="599"/>
    <n v="999"/>
    <x v="54"/>
    <x v="1"/>
    <x v="646"/>
  </r>
  <r>
    <x v="795"/>
    <x v="781"/>
    <x v="123"/>
    <x v="64"/>
    <s v="Computers&amp;Accessories|Accessories&amp;Peripherals|Keyboards,Mice&amp;InputDevices|Keyboard&amp;MiceAccessories|MousePads"/>
    <n v="425"/>
    <n v="899"/>
    <x v="3"/>
    <x v="6"/>
    <x v="647"/>
  </r>
  <r>
    <x v="796"/>
    <x v="782"/>
    <x v="170"/>
    <x v="39"/>
    <s v="Electronics|Headphones,Earbuds&amp;Accessories|Headphones|On-Ear"/>
    <n v="1499"/>
    <n v="3999"/>
    <x v="11"/>
    <x v="0"/>
    <x v="648"/>
  </r>
  <r>
    <x v="797"/>
    <x v="783"/>
    <x v="166"/>
    <x v="96"/>
    <s v="Computers&amp;Accessories|Accessories&amp;Peripherals|TabletAccessories|Bags,Cases&amp;Sleeves|Cases"/>
    <n v="549"/>
    <n v="2499"/>
    <x v="38"/>
    <x v="4"/>
    <x v="649"/>
  </r>
  <r>
    <x v="798"/>
    <x v="784"/>
    <x v="139"/>
    <x v="44"/>
    <s v="Computers&amp;Accessories|Accessories&amp;Peripherals|Keyboards,Mice&amp;InputDevices|Mice"/>
    <n v="1295"/>
    <n v="1645"/>
    <x v="72"/>
    <x v="13"/>
    <x v="650"/>
  </r>
  <r>
    <x v="799"/>
    <x v="785"/>
    <x v="207"/>
    <x v="63"/>
    <s v="Home&amp;Kitchen|CraftMaterials|PaintingMaterials|Paints"/>
    <n v="310"/>
    <n v="310"/>
    <x v="26"/>
    <x v="6"/>
    <x v="651"/>
  </r>
  <r>
    <x v="800"/>
    <x v="786"/>
    <x v="4"/>
    <x v="53"/>
    <s v="Computers&amp;Accessories|Accessories&amp;Peripherals|Keyboards,Mice&amp;InputDevices|Keyboard&amp;MouseSets"/>
    <n v="1149"/>
    <n v="1499"/>
    <x v="7"/>
    <x v="3"/>
    <x v="652"/>
  </r>
  <r>
    <x v="801"/>
    <x v="787"/>
    <x v="208"/>
    <x v="46"/>
    <s v="Computers&amp;Accessories|Accessories&amp;Peripherals|LaptopAccessories|Lapdesks"/>
    <n v="499"/>
    <n v="1299"/>
    <x v="33"/>
    <x v="6"/>
    <x v="653"/>
  </r>
  <r>
    <x v="802"/>
    <x v="788"/>
    <x v="35"/>
    <x v="24"/>
    <s v="Electronics|Headphones,Earbuds&amp;Accessories|Headphones|In-Ear"/>
    <n v="999"/>
    <n v="4199"/>
    <x v="60"/>
    <x v="12"/>
    <x v="654"/>
  </r>
  <r>
    <x v="803"/>
    <x v="789"/>
    <x v="179"/>
    <x v="104"/>
    <s v="Computers&amp;Accessories|Components|InternalSolidStateDrives"/>
    <n v="1709"/>
    <n v="4000"/>
    <x v="48"/>
    <x v="5"/>
    <x v="655"/>
  </r>
  <r>
    <x v="804"/>
    <x v="790"/>
    <x v="145"/>
    <x v="51"/>
    <s v="OfficeProducts|OfficePaperProducts|Paper|Stationery|Pens,Pencils&amp;WritingSupplies|Pens&amp;Refills|GelInkRollerballPens"/>
    <n v="250"/>
    <n v="250"/>
    <x v="26"/>
    <x v="0"/>
    <x v="656"/>
  </r>
  <r>
    <x v="805"/>
    <x v="791"/>
    <x v="145"/>
    <x v="114"/>
    <s v="Home&amp;Kitchen|CraftMaterials|DrawingMaterials|DrawingMedia|Pens"/>
    <n v="90"/>
    <n v="100"/>
    <x v="78"/>
    <x v="5"/>
    <x v="657"/>
  </r>
  <r>
    <x v="806"/>
    <x v="792"/>
    <x v="123"/>
    <x v="35"/>
    <s v="Electronics|Mobiles&amp;Accessories|MobileAccessories|StylusPens"/>
    <n v="2025"/>
    <n v="5999"/>
    <x v="46"/>
    <x v="0"/>
    <x v="658"/>
  </r>
  <r>
    <x v="807"/>
    <x v="793"/>
    <x v="139"/>
    <x v="62"/>
    <s v="Computers&amp;Accessories|Accessories&amp;Peripherals|PCGamingPeripherals|GamingMice"/>
    <n v="1495"/>
    <n v="1995"/>
    <x v="23"/>
    <x v="6"/>
    <x v="659"/>
  </r>
  <r>
    <x v="808"/>
    <x v="794"/>
    <x v="35"/>
    <x v="70"/>
    <s v="Electronics|HomeAudio|Speakers|BluetoothSpeakers"/>
    <n v="899"/>
    <n v="1199"/>
    <x v="23"/>
    <x v="11"/>
    <x v="660"/>
  </r>
  <r>
    <x v="809"/>
    <x v="795"/>
    <x v="24"/>
    <x v="115"/>
    <s v="Computers&amp;Accessories|Accessories&amp;Peripherals|Cables&amp;Accessories|Cables|SATACables"/>
    <n v="349"/>
    <n v="999"/>
    <x v="6"/>
    <x v="2"/>
    <x v="661"/>
  </r>
  <r>
    <x v="810"/>
    <x v="796"/>
    <x v="128"/>
    <x v="20"/>
    <s v="Electronics|Mobiles&amp;Accessories|MobileAccessories|Chargers|PowerBanks"/>
    <n v="900"/>
    <n v="2499"/>
    <x v="0"/>
    <x v="1"/>
    <x v="382"/>
  </r>
  <r>
    <x v="811"/>
    <x v="797"/>
    <x v="209"/>
    <x v="82"/>
    <s v="Electronics|Cameras&amp;Photography|SecurityCameras|DomeCameras"/>
    <n v="2490"/>
    <n v="3990"/>
    <x v="16"/>
    <x v="3"/>
    <x v="662"/>
  </r>
  <r>
    <x v="812"/>
    <x v="798"/>
    <x v="10"/>
    <x v="71"/>
    <s v="Electronics|GeneralPurposeBatteries&amp;BatteryChargers"/>
    <n v="116"/>
    <n v="200"/>
    <x v="21"/>
    <x v="5"/>
    <x v="663"/>
  </r>
  <r>
    <x v="813"/>
    <x v="799"/>
    <x v="207"/>
    <x v="63"/>
    <s v="Home&amp;Kitchen|CraftMaterials|PaintingMaterials|Paints"/>
    <n v="200"/>
    <n v="230"/>
    <x v="14"/>
    <x v="5"/>
    <x v="664"/>
  </r>
  <r>
    <x v="814"/>
    <x v="800"/>
    <x v="86"/>
    <x v="107"/>
    <s v="Computers&amp;Accessories|Accessories&amp;Peripherals|LaptopAccessories|LaptopChargers&amp;PowerSupplies"/>
    <n v="1249"/>
    <n v="2796"/>
    <x v="10"/>
    <x v="5"/>
    <x v="665"/>
  </r>
  <r>
    <x v="815"/>
    <x v="801"/>
    <x v="117"/>
    <x v="116"/>
    <s v="Computers&amp;Accessories|Accessories&amp;Peripherals|Audio&amp;VideoAccessories|PCHeadsets"/>
    <n v="649"/>
    <n v="999"/>
    <x v="31"/>
    <x v="12"/>
    <x v="301"/>
  </r>
  <r>
    <x v="816"/>
    <x v="802"/>
    <x v="210"/>
    <x v="117"/>
    <s v="Computers&amp;Accessories|Accessories&amp;Peripherals|PCGamingPeripherals|GamingKeyboards"/>
    <n v="2649"/>
    <n v="3499"/>
    <x v="66"/>
    <x v="6"/>
    <x v="666"/>
  </r>
  <r>
    <x v="817"/>
    <x v="803"/>
    <x v="117"/>
    <x v="60"/>
    <s v="Computers&amp;Accessories|Printers,Inks&amp;Accessories|Inks,Toners&amp;Cartridges|InkjetInkCartridges"/>
    <n v="596"/>
    <n v="723"/>
    <x v="74"/>
    <x v="5"/>
    <x v="667"/>
  </r>
  <r>
    <x v="818"/>
    <x v="804"/>
    <x v="107"/>
    <x v="19"/>
    <s v="Electronics|WearableTechnology|SmartWatches"/>
    <n v="2499"/>
    <n v="5999"/>
    <x v="30"/>
    <x v="3"/>
    <x v="369"/>
  </r>
  <r>
    <x v="819"/>
    <x v="805"/>
    <x v="35"/>
    <x v="118"/>
    <s v="Electronics|HomeAudio|Speakers|SoundbarSpeakers"/>
    <n v="4999"/>
    <n v="12499"/>
    <x v="13"/>
    <x v="0"/>
    <x v="668"/>
  </r>
  <r>
    <x v="820"/>
    <x v="806"/>
    <x v="3"/>
    <x v="24"/>
    <s v="Electronics|Headphones,Earbuds&amp;Accessories|Headphones|In-Ear"/>
    <n v="399"/>
    <n v="1290"/>
    <x v="12"/>
    <x v="0"/>
    <x v="669"/>
  </r>
  <r>
    <x v="821"/>
    <x v="807"/>
    <x v="10"/>
    <x v="71"/>
    <s v="Electronics|GeneralPurposeBatteries&amp;BatteryChargers"/>
    <n v="116"/>
    <n v="200"/>
    <x v="21"/>
    <x v="4"/>
    <x v="670"/>
  </r>
  <r>
    <x v="822"/>
    <x v="808"/>
    <x v="6"/>
    <x v="82"/>
    <s v="Electronics|Cameras&amp;Photography|SecurityCameras|DomeCameras"/>
    <n v="4499"/>
    <n v="5999"/>
    <x v="23"/>
    <x v="4"/>
    <x v="671"/>
  </r>
  <r>
    <x v="823"/>
    <x v="809"/>
    <x v="35"/>
    <x v="85"/>
    <s v="Computers&amp;Accessories|Accessories&amp;Peripherals|USBHubs"/>
    <n v="330"/>
    <n v="499"/>
    <x v="67"/>
    <x v="7"/>
    <x v="672"/>
  </r>
  <r>
    <x v="824"/>
    <x v="810"/>
    <x v="142"/>
    <x v="69"/>
    <s v="Electronics|Headphones,Earbuds&amp;Accessories|Headphones|Over-Ear"/>
    <n v="649"/>
    <n v="2499"/>
    <x v="80"/>
    <x v="2"/>
    <x v="673"/>
  </r>
  <r>
    <x v="825"/>
    <x v="811"/>
    <x v="104"/>
    <x v="34"/>
    <s v="Computers&amp;Accessories|Accessories&amp;Peripherals|TabletAccessories|ScreenProtectors"/>
    <n v="1234"/>
    <n v="1599"/>
    <x v="7"/>
    <x v="6"/>
    <x v="674"/>
  </r>
  <r>
    <x v="514"/>
    <x v="502"/>
    <x v="3"/>
    <x v="39"/>
    <s v="Electronics|Headphones,Earbuds&amp;Accessories|Headphones|On-Ear"/>
    <n v="1399"/>
    <n v="2990"/>
    <x v="3"/>
    <x v="3"/>
    <x v="675"/>
  </r>
  <r>
    <x v="826"/>
    <x v="812"/>
    <x v="172"/>
    <x v="110"/>
    <s v="OfficeProducts|OfficePaperProducts|Paper|Stationery|Pens,Pencils&amp;WritingSupplies|Pens&amp;Refills|StickBallpointPens"/>
    <n v="272"/>
    <n v="320"/>
    <x v="59"/>
    <x v="1"/>
    <x v="676"/>
  </r>
  <r>
    <x v="827"/>
    <x v="813"/>
    <x v="211"/>
    <x v="119"/>
    <s v="Electronics|Headphones,Earbuds&amp;Accessories|Earpads"/>
    <n v="99"/>
    <n v="999"/>
    <x v="2"/>
    <x v="11"/>
    <x v="677"/>
  </r>
  <r>
    <x v="828"/>
    <x v="814"/>
    <x v="212"/>
    <x v="120"/>
    <s v="Computers&amp;Accessories|Printers,Inks&amp;Accessories|Printers|InkjetPrinters"/>
    <n v="3498"/>
    <n v="3875"/>
    <x v="78"/>
    <x v="10"/>
    <x v="678"/>
  </r>
  <r>
    <x v="829"/>
    <x v="815"/>
    <x v="12"/>
    <x v="79"/>
    <s v="Computers&amp;Accessories|Monitors"/>
    <n v="10099"/>
    <n v="19110"/>
    <x v="41"/>
    <x v="4"/>
    <x v="679"/>
  </r>
  <r>
    <x v="830"/>
    <x v="816"/>
    <x v="165"/>
    <x v="88"/>
    <s v="Computers&amp;Accessories|Accessories&amp;Peripherals|LaptopAccessories|Bags&amp;Sleeves|LaptopSleeves&amp;Slipcases"/>
    <n v="449"/>
    <n v="999"/>
    <x v="10"/>
    <x v="4"/>
    <x v="680"/>
  </r>
  <r>
    <x v="831"/>
    <x v="817"/>
    <x v="213"/>
    <x v="121"/>
    <s v="Toys&amp;Games|Arts&amp;Crafts|Drawing&amp;PaintingSupplies|ColouringPens&amp;Markers"/>
    <n v="150"/>
    <n v="150"/>
    <x v="26"/>
    <x v="4"/>
    <x v="681"/>
  </r>
  <r>
    <x v="832"/>
    <x v="818"/>
    <x v="180"/>
    <x v="68"/>
    <s v="Computers&amp;Accessories|NetworkingDevices|Routers"/>
    <n v="1199"/>
    <n v="2999"/>
    <x v="13"/>
    <x v="3"/>
    <x v="682"/>
  </r>
  <r>
    <x v="833"/>
    <x v="819"/>
    <x v="214"/>
    <x v="65"/>
    <s v="Computers&amp;Accessories|Accessories&amp;Peripherals|HardDiskBags"/>
    <n v="397"/>
    <n v="899"/>
    <x v="37"/>
    <x v="1"/>
    <x v="683"/>
  </r>
  <r>
    <x v="834"/>
    <x v="820"/>
    <x v="204"/>
    <x v="83"/>
    <s v="Computers&amp;Accessories|Accessories&amp;Peripherals|PCGamingPeripherals|Gamepads"/>
    <n v="699"/>
    <n v="1490"/>
    <x v="3"/>
    <x v="1"/>
    <x v="684"/>
  </r>
  <r>
    <x v="835"/>
    <x v="821"/>
    <x v="57"/>
    <x v="24"/>
    <s v="Electronics|Headphones,Earbuds&amp;Accessories|Headphones|In-Ear"/>
    <n v="1679"/>
    <n v="1999"/>
    <x v="81"/>
    <x v="3"/>
    <x v="685"/>
  </r>
  <r>
    <x v="836"/>
    <x v="822"/>
    <x v="187"/>
    <x v="45"/>
    <s v="Computers&amp;Accessories|Accessories&amp;Peripherals|Keyboards,Mice&amp;InputDevices|GraphicTablets"/>
    <n v="354"/>
    <n v="1500"/>
    <x v="60"/>
    <x v="1"/>
    <x v="686"/>
  </r>
  <r>
    <x v="837"/>
    <x v="823"/>
    <x v="215"/>
    <x v="122"/>
    <s v="Computers&amp;Accessories|Accessories&amp;Peripherals|PCGamingPeripherals|Headsets"/>
    <n v="1199"/>
    <n v="5499"/>
    <x v="38"/>
    <x v="11"/>
    <x v="687"/>
  </r>
  <r>
    <x v="838"/>
    <x v="824"/>
    <x v="166"/>
    <x v="34"/>
    <s v="Computers&amp;Accessories|Accessories&amp;Peripherals|TabletAccessories|ScreenProtectors"/>
    <n v="379"/>
    <n v="1499"/>
    <x v="43"/>
    <x v="0"/>
    <x v="688"/>
  </r>
  <r>
    <x v="839"/>
    <x v="825"/>
    <x v="216"/>
    <x v="54"/>
    <s v="Computers&amp;Accessories|ExternalDevices&amp;DataStorage|ExternalHardDisks"/>
    <n v="499"/>
    <n v="775"/>
    <x v="63"/>
    <x v="4"/>
    <x v="689"/>
  </r>
  <r>
    <x v="840"/>
    <x v="826"/>
    <x v="106"/>
    <x v="123"/>
    <s v="Computers&amp;Accessories|ExternalDevices&amp;DataStorage|ExternalSolidStateDrives"/>
    <n v="10389"/>
    <n v="32000"/>
    <x v="45"/>
    <x v="5"/>
    <x v="690"/>
  </r>
  <r>
    <x v="841"/>
    <x v="827"/>
    <x v="35"/>
    <x v="108"/>
    <s v="Computers&amp;Accessories|Accessories&amp;Peripherals|Audio&amp;VideoAccessories|PCSpeakers"/>
    <n v="649"/>
    <n v="1300"/>
    <x v="8"/>
    <x v="3"/>
    <x v="691"/>
  </r>
  <r>
    <x v="842"/>
    <x v="828"/>
    <x v="7"/>
    <x v="124"/>
    <s v="Computers&amp;Accessories|NetworkingDevices|NetworkAdapters|PowerLANAdapters"/>
    <n v="1199"/>
    <n v="1999"/>
    <x v="54"/>
    <x v="6"/>
    <x v="78"/>
  </r>
  <r>
    <x v="843"/>
    <x v="829"/>
    <x v="17"/>
    <x v="24"/>
    <s v="Electronics|Headphones,Earbuds&amp;Accessories|Headphones|In-Ear"/>
    <n v="889"/>
    <n v="1999"/>
    <x v="37"/>
    <x v="0"/>
    <x v="692"/>
  </r>
  <r>
    <x v="844"/>
    <x v="830"/>
    <x v="117"/>
    <x v="53"/>
    <s v="Computers&amp;Accessories|Accessories&amp;Peripherals|Keyboards,Mice&amp;InputDevices|Keyboard&amp;MouseSets"/>
    <n v="1409"/>
    <n v="2199"/>
    <x v="63"/>
    <x v="2"/>
    <x v="693"/>
  </r>
  <r>
    <x v="845"/>
    <x v="831"/>
    <x v="217"/>
    <x v="125"/>
    <s v="Computers&amp;Accessories|Printers,Inks&amp;Accessories|Inks,Toners&amp;Cartridges|InkjetInkRefills&amp;Kits"/>
    <n v="549"/>
    <n v="1999"/>
    <x v="25"/>
    <x v="4"/>
    <x v="694"/>
  </r>
  <r>
    <x v="846"/>
    <x v="832"/>
    <x v="167"/>
    <x v="122"/>
    <s v="Computers&amp;Accessories|Accessories&amp;Peripherals|PCGamingPeripherals|Headsets"/>
    <n v="749"/>
    <n v="1799"/>
    <x v="30"/>
    <x v="1"/>
    <x v="695"/>
  </r>
  <r>
    <x v="847"/>
    <x v="833"/>
    <x v="0"/>
    <x v="0"/>
    <s v="Computers&amp;Accessories|Accessories&amp;Peripherals|Cables&amp;Accessories|Cables|USBCables"/>
    <n v="379"/>
    <n v="1099"/>
    <x v="46"/>
    <x v="4"/>
    <x v="84"/>
  </r>
  <r>
    <x v="848"/>
    <x v="834"/>
    <x v="218"/>
    <x v="19"/>
    <s v="Electronics|WearableTechnology|SmartWatches"/>
    <n v="5998"/>
    <n v="7999"/>
    <x v="23"/>
    <x v="0"/>
    <x v="696"/>
  </r>
  <r>
    <x v="849"/>
    <x v="835"/>
    <x v="219"/>
    <x v="88"/>
    <s v="Computers&amp;Accessories|Accessories&amp;Peripherals|LaptopAccessories|Bags&amp;Sleeves|LaptopSleeves&amp;Slipcases"/>
    <n v="299"/>
    <n v="1499"/>
    <x v="27"/>
    <x v="0"/>
    <x v="697"/>
  </r>
  <r>
    <x v="850"/>
    <x v="836"/>
    <x v="166"/>
    <x v="34"/>
    <s v="Computers&amp;Accessories|Accessories&amp;Peripherals|TabletAccessories|ScreenProtectors"/>
    <n v="379"/>
    <n v="1499"/>
    <x v="43"/>
    <x v="3"/>
    <x v="698"/>
  </r>
  <r>
    <x v="851"/>
    <x v="837"/>
    <x v="4"/>
    <x v="126"/>
    <s v="OfficeProducts|OfficePaperProducts|Paper|Stationery|Notebooks,WritingPads&amp;Diaries"/>
    <n v="1399"/>
    <n v="2999"/>
    <x v="3"/>
    <x v="4"/>
    <x v="699"/>
  </r>
  <r>
    <x v="852"/>
    <x v="838"/>
    <x v="150"/>
    <x v="127"/>
    <s v="Electronics|Cameras&amp;Photography|Accessories|PhotoStudio&amp;Lighting|PhotoBackgroundAccessories|BackgroundSupports"/>
    <n v="699"/>
    <n v="1299"/>
    <x v="18"/>
    <x v="4"/>
    <x v="700"/>
  </r>
  <r>
    <x v="853"/>
    <x v="839"/>
    <x v="145"/>
    <x v="91"/>
    <s v="OfficeProducts|OfficePaperProducts|Paper|Stationery|Notebooks,WritingPads&amp;Diaries|CompositionNotebooks"/>
    <n v="300"/>
    <n v="300"/>
    <x v="26"/>
    <x v="0"/>
    <x v="701"/>
  </r>
  <r>
    <x v="854"/>
    <x v="840"/>
    <x v="220"/>
    <x v="64"/>
    <s v="Computers&amp;Accessories|Accessories&amp;Peripherals|Keyboards,Mice&amp;InputDevices|Keyboard&amp;MiceAccessories|MousePads"/>
    <n v="999"/>
    <n v="1995"/>
    <x v="8"/>
    <x v="6"/>
    <x v="702"/>
  </r>
  <r>
    <x v="855"/>
    <x v="841"/>
    <x v="149"/>
    <x v="128"/>
    <s v="OfficeProducts|OfficeElectronics|Calculators|Financial&amp;Business"/>
    <n v="535"/>
    <n v="535"/>
    <x v="26"/>
    <x v="5"/>
    <x v="491"/>
  </r>
  <r>
    <x v="64"/>
    <x v="64"/>
    <x v="25"/>
    <x v="3"/>
    <s v="Electronics|HomeTheater,TV&amp;Video|Televisions|SmartTelevisions"/>
    <n v="13999"/>
    <n v="24999"/>
    <x v="15"/>
    <x v="0"/>
    <x v="703"/>
  </r>
  <r>
    <x v="856"/>
    <x v="842"/>
    <x v="34"/>
    <x v="88"/>
    <s v="Computers&amp;Accessories|Accessories&amp;Peripherals|LaptopAccessories|Bags&amp;Sleeves|LaptopSleeves&amp;Slipcases"/>
    <n v="269"/>
    <n v="1099"/>
    <x v="60"/>
    <x v="3"/>
    <x v="704"/>
  </r>
  <r>
    <x v="857"/>
    <x v="843"/>
    <x v="172"/>
    <x v="110"/>
    <s v="OfficeProducts|OfficePaperProducts|Paper|Stationery|Pens,Pencils&amp;WritingSupplies|Pens&amp;Refills|StickBallpointPens"/>
    <n v="341"/>
    <n v="450"/>
    <x v="66"/>
    <x v="4"/>
    <x v="705"/>
  </r>
  <r>
    <x v="858"/>
    <x v="844"/>
    <x v="7"/>
    <x v="68"/>
    <s v="Computers&amp;Accessories|NetworkingDevices|Routers"/>
    <n v="2499"/>
    <n v="3999"/>
    <x v="16"/>
    <x v="5"/>
    <x v="706"/>
  </r>
  <r>
    <x v="859"/>
    <x v="845"/>
    <x v="117"/>
    <x v="113"/>
    <s v="Computers&amp;Accessories|Printers,Inks&amp;Accessories|Printers"/>
    <n v="5899"/>
    <n v="7005"/>
    <x v="81"/>
    <x v="9"/>
    <x v="707"/>
  </r>
  <r>
    <x v="533"/>
    <x v="520"/>
    <x v="27"/>
    <x v="27"/>
    <s v="Electronics|Mobiles&amp;Accessories|MobileAccessories|Chargers|WallChargers"/>
    <n v="699"/>
    <n v="1199"/>
    <x v="21"/>
    <x v="1"/>
    <x v="708"/>
  </r>
  <r>
    <x v="860"/>
    <x v="846"/>
    <x v="154"/>
    <x v="68"/>
    <s v="Computers&amp;Accessories|NetworkingDevices|Routers"/>
    <n v="1565"/>
    <n v="2999"/>
    <x v="61"/>
    <x v="1"/>
    <x v="709"/>
  </r>
  <r>
    <x v="861"/>
    <x v="847"/>
    <x v="221"/>
    <x v="56"/>
    <s v="Electronics|Cameras&amp;Photography|Accessories|Tripods&amp;Monopods|Tabletop&amp;TravelTripods"/>
    <n v="326"/>
    <n v="799"/>
    <x v="53"/>
    <x v="5"/>
    <x v="710"/>
  </r>
  <r>
    <x v="862"/>
    <x v="848"/>
    <x v="222"/>
    <x v="54"/>
    <s v="Computers&amp;Accessories|ExternalDevices&amp;DataStorage|ExternalHardDisks"/>
    <n v="657"/>
    <n v="999"/>
    <x v="67"/>
    <x v="4"/>
    <x v="711"/>
  </r>
  <r>
    <x v="863"/>
    <x v="849"/>
    <x v="139"/>
    <x v="62"/>
    <s v="Computers&amp;Accessories|Accessories&amp;Peripherals|PCGamingPeripherals|GamingMice"/>
    <n v="1995"/>
    <n v="2895"/>
    <x v="39"/>
    <x v="13"/>
    <x v="712"/>
  </r>
  <r>
    <x v="864"/>
    <x v="850"/>
    <x v="156"/>
    <x v="71"/>
    <s v="Electronics|GeneralPurposeBatteries&amp;BatteryChargers"/>
    <n v="1500"/>
    <n v="1500"/>
    <x v="26"/>
    <x v="5"/>
    <x v="713"/>
  </r>
  <r>
    <x v="865"/>
    <x v="851"/>
    <x v="139"/>
    <x v="48"/>
    <s v="Computers&amp;Accessories|Accessories&amp;Peripherals|Keyboards,Mice&amp;InputDevices|Keyboards"/>
    <n v="2640"/>
    <n v="3195"/>
    <x v="49"/>
    <x v="6"/>
    <x v="714"/>
  </r>
  <r>
    <x v="866"/>
    <x v="852"/>
    <x v="212"/>
    <x v="113"/>
    <s v="Computers&amp;Accessories|Printers,Inks&amp;Accessories|Printers"/>
    <n v="5299"/>
    <n v="6355"/>
    <x v="49"/>
    <x v="2"/>
    <x v="715"/>
  </r>
  <r>
    <x v="867"/>
    <x v="853"/>
    <x v="167"/>
    <x v="122"/>
    <s v="Computers&amp;Accessories|Accessories&amp;Peripherals|PCGamingPeripherals|Headsets"/>
    <n v="1990"/>
    <n v="2999"/>
    <x v="67"/>
    <x v="4"/>
    <x v="716"/>
  </r>
  <r>
    <x v="868"/>
    <x v="854"/>
    <x v="46"/>
    <x v="129"/>
    <s v="Electronics|PowerAccessories|SurgeProtectors"/>
    <n v="1289"/>
    <n v="1499"/>
    <x v="79"/>
    <x v="6"/>
    <x v="717"/>
  </r>
  <r>
    <x v="869"/>
    <x v="855"/>
    <x v="145"/>
    <x v="91"/>
    <s v="OfficeProducts|OfficePaperProducts|Paper|Stationery|Notebooks,WritingPads&amp;Diaries|CompositionNotebooks"/>
    <n v="165"/>
    <n v="165"/>
    <x v="26"/>
    <x v="6"/>
    <x v="718"/>
  </r>
  <r>
    <x v="870"/>
    <x v="856"/>
    <x v="223"/>
    <x v="107"/>
    <s v="Computers&amp;Accessories|Accessories&amp;Peripherals|LaptopAccessories|LaptopChargers&amp;PowerSupplies"/>
    <n v="1699"/>
    <n v="3499"/>
    <x v="24"/>
    <x v="9"/>
    <x v="719"/>
  </r>
  <r>
    <x v="871"/>
    <x v="857"/>
    <x v="224"/>
    <x v="82"/>
    <s v="Electronics|Cameras&amp;Photography|SecurityCameras|DomeCameras"/>
    <n v="2299"/>
    <n v="7500"/>
    <x v="12"/>
    <x v="3"/>
    <x v="720"/>
  </r>
  <r>
    <x v="872"/>
    <x v="858"/>
    <x v="164"/>
    <x v="80"/>
    <s v="Computers&amp;Accessories|Accessories&amp;Peripherals|USBGadgets|Lamps"/>
    <n v="39"/>
    <n v="39"/>
    <x v="26"/>
    <x v="11"/>
    <x v="721"/>
  </r>
  <r>
    <x v="873"/>
    <x v="859"/>
    <x v="154"/>
    <x v="130"/>
    <s v="Computers&amp;Accessories|Tablets"/>
    <n v="26999"/>
    <n v="37999"/>
    <x v="56"/>
    <x v="13"/>
    <x v="722"/>
  </r>
  <r>
    <x v="874"/>
    <x v="860"/>
    <x v="225"/>
    <x v="24"/>
    <s v="Electronics|Headphones,Earbuds&amp;Accessories|Headphones|In-Ear"/>
    <n v="1490"/>
    <n v="1990"/>
    <x v="23"/>
    <x v="3"/>
    <x v="723"/>
  </r>
  <r>
    <x v="875"/>
    <x v="861"/>
    <x v="226"/>
    <x v="46"/>
    <s v="Computers&amp;Accessories|Accessories&amp;Peripherals|LaptopAccessories|Lapdesks"/>
    <n v="398"/>
    <n v="1949"/>
    <x v="27"/>
    <x v="1"/>
    <x v="724"/>
  </r>
  <r>
    <x v="876"/>
    <x v="862"/>
    <x v="117"/>
    <x v="107"/>
    <s v="Computers&amp;Accessories|Accessories&amp;Peripherals|LaptopAccessories|LaptopChargers&amp;PowerSupplies"/>
    <n v="770"/>
    <n v="1547"/>
    <x v="8"/>
    <x v="4"/>
    <x v="725"/>
  </r>
  <r>
    <x v="877"/>
    <x v="863"/>
    <x v="123"/>
    <x v="31"/>
    <s v="Electronics|Mobiles&amp;Accessories|MobileAccessories|Stands"/>
    <n v="279"/>
    <n v="1299"/>
    <x v="71"/>
    <x v="1"/>
    <x v="726"/>
  </r>
  <r>
    <x v="878"/>
    <x v="864"/>
    <x v="34"/>
    <x v="131"/>
    <s v="HomeImprovement|Electrical|CordManagement"/>
    <n v="249"/>
    <n v="599"/>
    <x v="30"/>
    <x v="6"/>
    <x v="727"/>
  </r>
  <r>
    <x v="879"/>
    <x v="865"/>
    <x v="207"/>
    <x v="132"/>
    <s v="Home&amp;Kitchen|CraftMaterials|PaintingMaterials"/>
    <n v="230"/>
    <n v="230"/>
    <x v="26"/>
    <x v="6"/>
    <x v="728"/>
  </r>
  <r>
    <x v="880"/>
    <x v="866"/>
    <x v="117"/>
    <x v="62"/>
    <s v="Computers&amp;Accessories|Accessories&amp;Peripherals|PCGamingPeripherals|GamingMice"/>
    <n v="599"/>
    <n v="700"/>
    <x v="79"/>
    <x v="4"/>
    <x v="729"/>
  </r>
  <r>
    <x v="881"/>
    <x v="867"/>
    <x v="227"/>
    <x v="133"/>
    <s v="Computers&amp;Accessories|Printers,Inks&amp;Accessories|Inks,Toners&amp;Cartridges|TonerCartridges"/>
    <n v="598"/>
    <n v="1150"/>
    <x v="61"/>
    <x v="3"/>
    <x v="730"/>
  </r>
  <r>
    <x v="882"/>
    <x v="868"/>
    <x v="166"/>
    <x v="34"/>
    <s v="Computers&amp;Accessories|Accessories&amp;Peripherals|TabletAccessories|ScreenProtectors"/>
    <n v="399"/>
    <n v="1499"/>
    <x v="25"/>
    <x v="1"/>
    <x v="731"/>
  </r>
  <r>
    <x v="883"/>
    <x v="869"/>
    <x v="228"/>
    <x v="46"/>
    <s v="Computers&amp;Accessories|Accessories&amp;Peripherals|LaptopAccessories|Lapdesks"/>
    <n v="499"/>
    <n v="1299"/>
    <x v="33"/>
    <x v="3"/>
    <x v="732"/>
  </r>
  <r>
    <x v="884"/>
    <x v="870"/>
    <x v="86"/>
    <x v="44"/>
    <s v="Computers&amp;Accessories|Accessories&amp;Peripherals|Keyboards,Mice&amp;InputDevices|Mice"/>
    <n v="579"/>
    <n v="1090"/>
    <x v="41"/>
    <x v="5"/>
    <x v="733"/>
  </r>
  <r>
    <x v="885"/>
    <x v="871"/>
    <x v="200"/>
    <x v="134"/>
    <s v="OfficeProducts|OfficePaperProducts|Paper|Stationery|Pens,Pencils&amp;WritingSupplies|Pens&amp;Refills|LiquidInkRollerballPens"/>
    <n v="90"/>
    <n v="100"/>
    <x v="78"/>
    <x v="3"/>
    <x v="734"/>
  </r>
  <r>
    <x v="886"/>
    <x v="872"/>
    <x v="35"/>
    <x v="46"/>
    <s v="Computers&amp;Accessories|Accessories&amp;Peripherals|LaptopAccessories|Lapdesks"/>
    <n v="899"/>
    <n v="1999"/>
    <x v="10"/>
    <x v="5"/>
    <x v="735"/>
  </r>
  <r>
    <x v="887"/>
    <x v="873"/>
    <x v="117"/>
    <x v="117"/>
    <s v="Computers&amp;Accessories|Accessories&amp;Peripherals|PCGamingPeripherals|GamingKeyboards"/>
    <n v="1149"/>
    <n v="1800"/>
    <x v="63"/>
    <x v="4"/>
    <x v="736"/>
  </r>
  <r>
    <x v="888"/>
    <x v="874"/>
    <x v="34"/>
    <x v="88"/>
    <s v="Computers&amp;Accessories|Accessories&amp;Peripherals|LaptopAccessories|Bags&amp;Sleeves|LaptopSleeves&amp;Slipcases"/>
    <n v="249"/>
    <n v="499"/>
    <x v="8"/>
    <x v="0"/>
    <x v="737"/>
  </r>
  <r>
    <x v="889"/>
    <x v="875"/>
    <x v="229"/>
    <x v="80"/>
    <s v="Computers&amp;Accessories|Accessories&amp;Peripherals|USBGadgets|Lamps"/>
    <n v="39"/>
    <n v="39"/>
    <x v="26"/>
    <x v="9"/>
    <x v="738"/>
  </r>
  <r>
    <x v="890"/>
    <x v="876"/>
    <x v="7"/>
    <x v="58"/>
    <s v="Computers&amp;Accessories|NetworkingDevices|Repeaters&amp;Extenders"/>
    <n v="1599"/>
    <n v="3599"/>
    <x v="37"/>
    <x v="0"/>
    <x v="739"/>
  </r>
  <r>
    <x v="891"/>
    <x v="877"/>
    <x v="3"/>
    <x v="70"/>
    <s v="Electronics|HomeAudio|Speakers|BluetoothSpeakers"/>
    <n v="1199"/>
    <n v="3990"/>
    <x v="20"/>
    <x v="0"/>
    <x v="740"/>
  </r>
  <r>
    <x v="892"/>
    <x v="878"/>
    <x v="230"/>
    <x v="44"/>
    <s v="Computers&amp;Accessories|Accessories&amp;Peripherals|Keyboards,Mice&amp;InputDevices|Mice"/>
    <n v="1099"/>
    <n v="1499"/>
    <x v="35"/>
    <x v="0"/>
    <x v="741"/>
  </r>
  <r>
    <x v="893"/>
    <x v="879"/>
    <x v="145"/>
    <x v="91"/>
    <s v="OfficeProducts|OfficePaperProducts|Paper|Stationery|Notebooks,WritingPads&amp;Diaries|CompositionNotebooks"/>
    <n v="120"/>
    <n v="120"/>
    <x v="26"/>
    <x v="6"/>
    <x v="742"/>
  </r>
  <r>
    <x v="894"/>
    <x v="880"/>
    <x v="117"/>
    <x v="117"/>
    <s v="Computers&amp;Accessories|Accessories&amp;Peripherals|PCGamingPeripherals|GamingKeyboards"/>
    <n v="1519"/>
    <n v="3499"/>
    <x v="48"/>
    <x v="4"/>
    <x v="743"/>
  </r>
  <r>
    <x v="895"/>
    <x v="881"/>
    <x v="172"/>
    <x v="134"/>
    <s v="OfficeProducts|OfficePaperProducts|Paper|Stationery|Pens,Pencils&amp;WritingSupplies|Pens&amp;Refills|LiquidInkRollerballPens"/>
    <n v="420"/>
    <n v="420"/>
    <x v="26"/>
    <x v="0"/>
    <x v="744"/>
  </r>
  <r>
    <x v="896"/>
    <x v="882"/>
    <x v="231"/>
    <x v="135"/>
    <s v="OfficeProducts|OfficePaperProducts|Paper|Stationery|Pens,Pencils&amp;WritingSupplies|Pens&amp;Refills|FountainPens"/>
    <n v="225"/>
    <n v="225"/>
    <x v="26"/>
    <x v="3"/>
    <x v="745"/>
  </r>
  <r>
    <x v="897"/>
    <x v="883"/>
    <x v="232"/>
    <x v="136"/>
    <s v="Computers&amp;Accessories|Accessories&amp;Peripherals|HardDriveAccessories|Caddies"/>
    <n v="199"/>
    <n v="799"/>
    <x v="43"/>
    <x v="3"/>
    <x v="746"/>
  </r>
  <r>
    <x v="898"/>
    <x v="884"/>
    <x v="212"/>
    <x v="120"/>
    <s v="Computers&amp;Accessories|Printers,Inks&amp;Accessories|Printers|InkjetPrinters"/>
    <n v="8349"/>
    <n v="9625"/>
    <x v="14"/>
    <x v="11"/>
    <x v="747"/>
  </r>
  <r>
    <x v="899"/>
    <x v="885"/>
    <x v="176"/>
    <x v="104"/>
    <s v="Computers&amp;Accessories|Components|InternalSolidStateDrives"/>
    <n v="3307"/>
    <n v="6100"/>
    <x v="18"/>
    <x v="4"/>
    <x v="748"/>
  </r>
  <r>
    <x v="900"/>
    <x v="886"/>
    <x v="117"/>
    <x v="43"/>
    <s v="Computers&amp;Accessories|ExternalDevices&amp;DataStorage|PenDrives"/>
    <n v="449"/>
    <n v="1300"/>
    <x v="6"/>
    <x v="0"/>
    <x v="749"/>
  </r>
  <r>
    <x v="901"/>
    <x v="887"/>
    <x v="10"/>
    <x v="50"/>
    <s v="Electronics|GeneralPurposeBatteries&amp;BatteryChargers|DisposableBatteries"/>
    <n v="380"/>
    <n v="400"/>
    <x v="8"/>
    <x v="5"/>
    <x v="750"/>
  </r>
  <r>
    <x v="902"/>
    <x v="888"/>
    <x v="233"/>
    <x v="45"/>
    <s v="Computers&amp;Accessories|Accessories&amp;Peripherals|Keyboards,Mice&amp;InputDevices|GraphicTablets"/>
    <n v="499"/>
    <n v="1399"/>
    <x v="0"/>
    <x v="2"/>
    <x v="751"/>
  </r>
  <r>
    <x v="903"/>
    <x v="889"/>
    <x v="86"/>
    <x v="137"/>
    <s v="Computers&amp;Accessories|Laptops|TraditionalLaptops"/>
    <n v="37247"/>
    <n v="59890"/>
    <x v="16"/>
    <x v="1"/>
    <x v="188"/>
  </r>
  <r>
    <x v="904"/>
    <x v="890"/>
    <x v="3"/>
    <x v="39"/>
    <s v="Electronics|Headphones,Earbuds&amp;Accessories|Headphones|On-Ear"/>
    <n v="849"/>
    <n v="2490"/>
    <x v="46"/>
    <x v="0"/>
    <x v="752"/>
  </r>
  <r>
    <x v="905"/>
    <x v="891"/>
    <x v="35"/>
    <x v="87"/>
    <s v="Electronics|HomeAudio|Speakers|OutdoorSpeakers"/>
    <n v="799"/>
    <n v="1999"/>
    <x v="13"/>
    <x v="7"/>
    <x v="753"/>
  </r>
  <r>
    <x v="906"/>
    <x v="892"/>
    <x v="31"/>
    <x v="80"/>
    <s v="Computers&amp;Accessories|Accessories&amp;Peripherals|USBGadgets|Lamps"/>
    <n v="298"/>
    <n v="999"/>
    <x v="20"/>
    <x v="4"/>
    <x v="754"/>
  </r>
  <r>
    <x v="907"/>
    <x v="893"/>
    <x v="170"/>
    <x v="87"/>
    <s v="Electronics|HomeAudio|Speakers|OutdoorSpeakers"/>
    <n v="1499"/>
    <n v="2999"/>
    <x v="8"/>
    <x v="3"/>
    <x v="755"/>
  </r>
  <r>
    <x v="908"/>
    <x v="894"/>
    <x v="234"/>
    <x v="138"/>
    <s v="Home&amp;Kitchen|Kitchen&amp;HomeAppliances|SmallKitchenAppliances|Kettles&amp;HotWaterDispensers|ElectricKettles"/>
    <n v="649"/>
    <n v="1245"/>
    <x v="61"/>
    <x v="2"/>
    <x v="756"/>
  </r>
  <r>
    <x v="909"/>
    <x v="895"/>
    <x v="235"/>
    <x v="139"/>
    <s v="Home&amp;Kitchen|Heating,Cooling&amp;AirQuality|RoomHeaters|ElectricHeaters"/>
    <n v="1199"/>
    <n v="1695"/>
    <x v="56"/>
    <x v="9"/>
    <x v="757"/>
  </r>
  <r>
    <x v="910"/>
    <x v="896"/>
    <x v="19"/>
    <x v="140"/>
    <s v="Home&amp;Kitchen|Heating,Cooling&amp;AirQuality|RoomHeaters|FanHeaters"/>
    <n v="1199"/>
    <n v="2000"/>
    <x v="54"/>
    <x v="1"/>
    <x v="758"/>
  </r>
  <r>
    <x v="911"/>
    <x v="897"/>
    <x v="236"/>
    <x v="141"/>
    <s v="Home&amp;Kitchen|Kitchen&amp;HomeAppliances|Vacuum,Cleaning&amp;Ironing|Irons,Steamers&amp;Accessories|LintShavers"/>
    <n v="455"/>
    <n v="999"/>
    <x v="34"/>
    <x v="3"/>
    <x v="759"/>
  </r>
  <r>
    <x v="912"/>
    <x v="898"/>
    <x v="237"/>
    <x v="142"/>
    <s v="Home&amp;Kitchen|Kitchen&amp;HomeAppliances|SmallKitchenAppliances|DigitalKitchenScales"/>
    <n v="199"/>
    <n v="1999"/>
    <x v="2"/>
    <x v="7"/>
    <x v="760"/>
  </r>
  <r>
    <x v="913"/>
    <x v="899"/>
    <x v="238"/>
    <x v="142"/>
    <s v="Home&amp;Kitchen|Kitchen&amp;HomeAppliances|SmallKitchenAppliances|DigitalKitchenScales"/>
    <n v="293"/>
    <n v="499"/>
    <x v="19"/>
    <x v="2"/>
    <x v="761"/>
  </r>
  <r>
    <x v="914"/>
    <x v="900"/>
    <x v="234"/>
    <x v="143"/>
    <s v="Home&amp;Kitchen|Kitchen&amp;Dining|KitchenTools|ManualChoppers&amp;Chippers|Choppers"/>
    <n v="199"/>
    <n v="495"/>
    <x v="13"/>
    <x v="3"/>
    <x v="762"/>
  </r>
  <r>
    <x v="915"/>
    <x v="901"/>
    <x v="239"/>
    <x v="138"/>
    <s v="Home&amp;Kitchen|Kitchen&amp;HomeAppliances|SmallKitchenAppliances|Kettles&amp;HotWaterDispensers|ElectricKettles"/>
    <n v="749"/>
    <n v="1245"/>
    <x v="54"/>
    <x v="2"/>
    <x v="763"/>
  </r>
  <r>
    <x v="916"/>
    <x v="902"/>
    <x v="240"/>
    <x v="139"/>
    <s v="Home&amp;Kitchen|Heating,Cooling&amp;AirQuality|RoomHeaters|ElectricHeaters"/>
    <n v="1399"/>
    <n v="1549"/>
    <x v="78"/>
    <x v="2"/>
    <x v="764"/>
  </r>
  <r>
    <x v="917"/>
    <x v="903"/>
    <x v="239"/>
    <x v="138"/>
    <s v="Home&amp;Kitchen|Kitchen&amp;HomeAppliances|SmallKitchenAppliances|Kettles&amp;HotWaterDispensers|ElectricKettles"/>
    <n v="749"/>
    <n v="1445"/>
    <x v="61"/>
    <x v="2"/>
    <x v="765"/>
  </r>
  <r>
    <x v="918"/>
    <x v="904"/>
    <x v="234"/>
    <x v="144"/>
    <s v="Home&amp;Kitchen|Kitchen&amp;HomeAppliances|SmallKitchenAppliances|InductionCooktop"/>
    <n v="1699"/>
    <n v="3193"/>
    <x v="41"/>
    <x v="11"/>
    <x v="766"/>
  </r>
  <r>
    <x v="919"/>
    <x v="905"/>
    <x v="239"/>
    <x v="138"/>
    <s v="Home&amp;Kitchen|Kitchen&amp;HomeAppliances|SmallKitchenAppliances|Kettles&amp;HotWaterDispensers|ElectricKettles"/>
    <n v="1043"/>
    <n v="1345"/>
    <x v="47"/>
    <x v="11"/>
    <x v="767"/>
  </r>
  <r>
    <x v="920"/>
    <x v="906"/>
    <x v="241"/>
    <x v="141"/>
    <s v="Home&amp;Kitchen|Kitchen&amp;HomeAppliances|Vacuum,Cleaning&amp;Ironing|Irons,Steamers&amp;Accessories|LintShavers"/>
    <n v="499"/>
    <n v="999"/>
    <x v="8"/>
    <x v="3"/>
    <x v="768"/>
  </r>
  <r>
    <x v="921"/>
    <x v="907"/>
    <x v="242"/>
    <x v="140"/>
    <s v="Home&amp;Kitchen|Heating,Cooling&amp;AirQuality|RoomHeaters|FanHeaters"/>
    <n v="1464"/>
    <n v="1650"/>
    <x v="68"/>
    <x v="3"/>
    <x v="769"/>
  </r>
  <r>
    <x v="922"/>
    <x v="908"/>
    <x v="243"/>
    <x v="145"/>
    <s v="Home&amp;Kitchen|Kitchen&amp;HomeAppliances|SmallKitchenAppliances|HandBlenders"/>
    <n v="249"/>
    <n v="499"/>
    <x v="8"/>
    <x v="8"/>
    <x v="770"/>
  </r>
  <r>
    <x v="923"/>
    <x v="909"/>
    <x v="240"/>
    <x v="146"/>
    <s v="Home&amp;Kitchen|Kitchen&amp;HomeAppliances|Vacuum,Cleaning&amp;Ironing|Irons,Steamers&amp;Accessories|Irons|DryIrons"/>
    <n v="625"/>
    <n v="1400"/>
    <x v="10"/>
    <x v="0"/>
    <x v="771"/>
  </r>
  <r>
    <x v="924"/>
    <x v="910"/>
    <x v="42"/>
    <x v="147"/>
    <s v="Home&amp;Kitchen|Kitchen&amp;HomeAppliances|SmallKitchenAppliances|MixerGrinders"/>
    <n v="1290"/>
    <n v="2500"/>
    <x v="61"/>
    <x v="1"/>
    <x v="772"/>
  </r>
  <r>
    <x v="925"/>
    <x v="911"/>
    <x v="244"/>
    <x v="148"/>
    <s v="Home&amp;Kitchen|Heating,Cooling&amp;AirQuality|WaterHeaters&amp;Geysers|InstantWaterHeaters"/>
    <n v="3600"/>
    <n v="6190"/>
    <x v="21"/>
    <x v="4"/>
    <x v="773"/>
  </r>
  <r>
    <x v="926"/>
    <x v="912"/>
    <x v="245"/>
    <x v="149"/>
    <s v="Home&amp;Kitchen|Heating,Cooling&amp;AirQuality|RoomHeaters"/>
    <n v="6549"/>
    <n v="13999"/>
    <x v="3"/>
    <x v="1"/>
    <x v="774"/>
  </r>
  <r>
    <x v="927"/>
    <x v="913"/>
    <x v="244"/>
    <x v="138"/>
    <s v="Home&amp;Kitchen|Kitchen&amp;HomeAppliances|SmallKitchenAppliances|Kettles&amp;HotWaterDispensers|ElectricKettles"/>
    <n v="1625"/>
    <n v="2995"/>
    <x v="18"/>
    <x v="6"/>
    <x v="775"/>
  </r>
  <r>
    <x v="928"/>
    <x v="914"/>
    <x v="240"/>
    <x v="148"/>
    <s v="Home&amp;Kitchen|Heating,Cooling&amp;AirQuality|WaterHeaters&amp;Geysers|InstantWaterHeaters"/>
    <n v="2599"/>
    <n v="5890"/>
    <x v="37"/>
    <x v="3"/>
    <x v="776"/>
  </r>
  <r>
    <x v="929"/>
    <x v="915"/>
    <x v="246"/>
    <x v="150"/>
    <s v="Home&amp;Kitchen|Kitchen&amp;HomeAppliances|SmallKitchenAppliances|Kettles&amp;HotWaterDispensers|Kettle&amp;ToasterSets"/>
    <n v="1199"/>
    <n v="2000"/>
    <x v="54"/>
    <x v="1"/>
    <x v="777"/>
  </r>
  <r>
    <x v="930"/>
    <x v="916"/>
    <x v="240"/>
    <x v="151"/>
    <s v="Home&amp;Kitchen|Heating,Cooling&amp;AirQuality|WaterHeaters&amp;Geysers|StorageWaterHeaters"/>
    <n v="5499"/>
    <n v="13150"/>
    <x v="30"/>
    <x v="0"/>
    <x v="778"/>
  </r>
  <r>
    <x v="931"/>
    <x v="917"/>
    <x v="247"/>
    <x v="147"/>
    <s v="Home&amp;Kitchen|Kitchen&amp;HomeAppliances|SmallKitchenAppliances|MixerGrinders"/>
    <n v="1299"/>
    <n v="3500"/>
    <x v="11"/>
    <x v="11"/>
    <x v="779"/>
  </r>
  <r>
    <x v="932"/>
    <x v="918"/>
    <x v="240"/>
    <x v="146"/>
    <s v="Home&amp;Kitchen|Kitchen&amp;HomeAppliances|Vacuum,Cleaning&amp;Ironing|Irons,Steamers&amp;Accessories|Irons|DryIrons"/>
    <n v="599"/>
    <n v="785"/>
    <x v="66"/>
    <x v="0"/>
    <x v="780"/>
  </r>
  <r>
    <x v="933"/>
    <x v="919"/>
    <x v="240"/>
    <x v="147"/>
    <s v="Home&amp;Kitchen|Kitchen&amp;HomeAppliances|SmallKitchenAppliances|MixerGrinders"/>
    <n v="1999"/>
    <n v="3210"/>
    <x v="16"/>
    <x v="0"/>
    <x v="781"/>
  </r>
  <r>
    <x v="934"/>
    <x v="920"/>
    <x v="247"/>
    <x v="150"/>
    <s v="Home&amp;Kitchen|Kitchen&amp;HomeAppliances|SmallKitchenAppliances|Kettles&amp;HotWaterDispensers|Kettle&amp;ToasterSets"/>
    <n v="549"/>
    <n v="1000"/>
    <x v="32"/>
    <x v="9"/>
    <x v="782"/>
  </r>
  <r>
    <x v="935"/>
    <x v="921"/>
    <x v="247"/>
    <x v="139"/>
    <s v="Home&amp;Kitchen|Heating,Cooling&amp;AirQuality|RoomHeaters|ElectricHeaters"/>
    <n v="999"/>
    <n v="2000"/>
    <x v="8"/>
    <x v="11"/>
    <x v="783"/>
  </r>
  <r>
    <x v="936"/>
    <x v="922"/>
    <x v="248"/>
    <x v="141"/>
    <s v="Home&amp;Kitchen|Kitchen&amp;HomeAppliances|Vacuum,Cleaning&amp;Ironing|Irons,Steamers&amp;Accessories|LintShavers"/>
    <n v="398"/>
    <n v="1999"/>
    <x v="27"/>
    <x v="3"/>
    <x v="784"/>
  </r>
  <r>
    <x v="937"/>
    <x v="923"/>
    <x v="240"/>
    <x v="152"/>
    <s v="Home&amp;Kitchen|Heating,Cooling&amp;AirQuality|WaterHeaters&amp;Geysers|ImmersionRods"/>
    <n v="539"/>
    <n v="720"/>
    <x v="23"/>
    <x v="3"/>
    <x v="785"/>
  </r>
  <r>
    <x v="938"/>
    <x v="924"/>
    <x v="249"/>
    <x v="138"/>
    <s v="Home&amp;Kitchen|Kitchen&amp;HomeAppliances|SmallKitchenAppliances|Kettles&amp;HotWaterDispensers|ElectricKettles"/>
    <n v="699"/>
    <n v="1595"/>
    <x v="37"/>
    <x v="3"/>
    <x v="786"/>
  </r>
  <r>
    <x v="939"/>
    <x v="925"/>
    <x v="239"/>
    <x v="144"/>
    <s v="Home&amp;Kitchen|Kitchen&amp;HomeAppliances|SmallKitchenAppliances|InductionCooktop"/>
    <n v="2148"/>
    <n v="3645"/>
    <x v="19"/>
    <x v="3"/>
    <x v="787"/>
  </r>
  <r>
    <x v="940"/>
    <x v="926"/>
    <x v="234"/>
    <x v="153"/>
    <s v="Home&amp;Kitchen|Kitchen&amp;HomeAppliances|SmallKitchenAppliances|DeepFatFryers|AirFryers"/>
    <n v="3599"/>
    <n v="7950"/>
    <x v="10"/>
    <x v="0"/>
    <x v="246"/>
  </r>
  <r>
    <x v="941"/>
    <x v="927"/>
    <x v="250"/>
    <x v="154"/>
    <s v="Home&amp;Kitchen|HomeStorage&amp;Organization|LaundryOrganization|LaundryBaskets"/>
    <n v="351"/>
    <n v="999"/>
    <x v="6"/>
    <x v="1"/>
    <x v="788"/>
  </r>
  <r>
    <x v="942"/>
    <x v="928"/>
    <x v="251"/>
    <x v="155"/>
    <s v="Home&amp;Kitchen|Kitchen&amp;HomeAppliances|Vacuum,Cleaning&amp;Ironing|Irons,Steamers&amp;Accessories|Irons|SteamIrons"/>
    <n v="1614"/>
    <n v="1745"/>
    <x v="27"/>
    <x v="4"/>
    <x v="789"/>
  </r>
  <r>
    <x v="943"/>
    <x v="929"/>
    <x v="244"/>
    <x v="152"/>
    <s v="Home&amp;Kitchen|Heating,Cooling&amp;AirQuality|WaterHeaters&amp;Geysers|ImmersionRods"/>
    <n v="719"/>
    <n v="1295"/>
    <x v="15"/>
    <x v="0"/>
    <x v="790"/>
  </r>
  <r>
    <x v="944"/>
    <x v="930"/>
    <x v="76"/>
    <x v="141"/>
    <s v="Home&amp;Kitchen|Kitchen&amp;HomeAppliances|Vacuum,Cleaning&amp;Ironing|Irons,Steamers&amp;Accessories|LintShavers"/>
    <n v="678"/>
    <n v="1499"/>
    <x v="10"/>
    <x v="0"/>
    <x v="791"/>
  </r>
  <r>
    <x v="945"/>
    <x v="931"/>
    <x v="234"/>
    <x v="150"/>
    <s v="Home&amp;Kitchen|Kitchen&amp;HomeAppliances|SmallKitchenAppliances|Kettles&amp;HotWaterDispensers|Kettle&amp;ToasterSets"/>
    <n v="809"/>
    <n v="1545"/>
    <x v="61"/>
    <x v="7"/>
    <x v="792"/>
  </r>
  <r>
    <x v="946"/>
    <x v="932"/>
    <x v="252"/>
    <x v="156"/>
    <s v="Home&amp;Kitchen|Kitchen&amp;HomeAppliances|SmallKitchenAppliances|JuicerMixerGrinders"/>
    <n v="1969"/>
    <n v="5000"/>
    <x v="4"/>
    <x v="3"/>
    <x v="793"/>
  </r>
  <r>
    <x v="947"/>
    <x v="933"/>
    <x v="251"/>
    <x v="141"/>
    <s v="Home&amp;Kitchen|Kitchen&amp;HomeAppliances|Vacuum,Cleaning&amp;Ironing|Irons,Steamers&amp;Accessories|LintShavers"/>
    <n v="1490"/>
    <n v="1695"/>
    <x v="83"/>
    <x v="5"/>
    <x v="794"/>
  </r>
  <r>
    <x v="948"/>
    <x v="934"/>
    <x v="244"/>
    <x v="139"/>
    <s v="Home&amp;Kitchen|Heating,Cooling&amp;AirQuality|RoomHeaters|ElectricHeaters"/>
    <n v="2499"/>
    <n v="3945"/>
    <x v="42"/>
    <x v="11"/>
    <x v="795"/>
  </r>
  <r>
    <x v="949"/>
    <x v="935"/>
    <x v="76"/>
    <x v="157"/>
    <s v="Home&amp;Kitchen|Kitchen&amp;HomeAppliances|Vacuum,Cleaning&amp;Ironing|Vacuums&amp;FloorCare|Vacuums|HandheldVacuums"/>
    <n v="1665"/>
    <n v="2099"/>
    <x v="72"/>
    <x v="1"/>
    <x v="796"/>
  </r>
  <r>
    <x v="950"/>
    <x v="936"/>
    <x v="251"/>
    <x v="144"/>
    <s v="Home&amp;Kitchen|Kitchen&amp;HomeAppliances|SmallKitchenAppliances|InductionCooktop"/>
    <n v="3229"/>
    <n v="5295"/>
    <x v="17"/>
    <x v="0"/>
    <x v="797"/>
  </r>
  <r>
    <x v="951"/>
    <x v="937"/>
    <x v="234"/>
    <x v="144"/>
    <s v="Home&amp;Kitchen|Kitchen&amp;HomeAppliances|SmallKitchenAppliances|InductionCooktop"/>
    <n v="1799"/>
    <n v="3595"/>
    <x v="8"/>
    <x v="11"/>
    <x v="798"/>
  </r>
  <r>
    <x v="952"/>
    <x v="938"/>
    <x v="76"/>
    <x v="138"/>
    <s v="Home&amp;Kitchen|Kitchen&amp;HomeAppliances|SmallKitchenAppliances|Kettles&amp;HotWaterDispensers|ElectricKettles"/>
    <n v="1260"/>
    <n v="1699"/>
    <x v="55"/>
    <x v="0"/>
    <x v="799"/>
  </r>
  <r>
    <x v="953"/>
    <x v="939"/>
    <x v="240"/>
    <x v="139"/>
    <s v="Home&amp;Kitchen|Heating,Cooling&amp;AirQuality|RoomHeaters|ElectricHeaters"/>
    <n v="749"/>
    <n v="1129"/>
    <x v="67"/>
    <x v="1"/>
    <x v="800"/>
  </r>
  <r>
    <x v="954"/>
    <x v="940"/>
    <x v="253"/>
    <x v="147"/>
    <s v="Home&amp;Kitchen|Kitchen&amp;HomeAppliances|SmallKitchenAppliances|MixerGrinders"/>
    <n v="3499"/>
    <n v="5795"/>
    <x v="54"/>
    <x v="2"/>
    <x v="801"/>
  </r>
  <r>
    <x v="955"/>
    <x v="941"/>
    <x v="254"/>
    <x v="158"/>
    <s v="Home&amp;Kitchen|Kitchen&amp;HomeAppliances|SmallKitchenAppliances|EggBoilers"/>
    <n v="379"/>
    <n v="999"/>
    <x v="33"/>
    <x v="4"/>
    <x v="802"/>
  </r>
  <r>
    <x v="956"/>
    <x v="942"/>
    <x v="247"/>
    <x v="139"/>
    <s v="Home&amp;Kitchen|Heating,Cooling&amp;AirQuality|RoomHeaters|ElectricHeaters"/>
    <n v="1099"/>
    <n v="2400"/>
    <x v="34"/>
    <x v="11"/>
    <x v="803"/>
  </r>
  <r>
    <x v="957"/>
    <x v="943"/>
    <x v="19"/>
    <x v="150"/>
    <s v="Home&amp;Kitchen|Kitchen&amp;HomeAppliances|SmallKitchenAppliances|Kettles&amp;HotWaterDispensers|Kettle&amp;ToasterSets"/>
    <n v="749"/>
    <n v="1299"/>
    <x v="21"/>
    <x v="1"/>
    <x v="371"/>
  </r>
  <r>
    <x v="958"/>
    <x v="944"/>
    <x v="239"/>
    <x v="159"/>
    <s v="Home&amp;Kitchen|Kitchen&amp;HomeAppliances|SmallKitchenAppliances|SandwichMakers"/>
    <n v="1299"/>
    <n v="1299"/>
    <x v="26"/>
    <x v="0"/>
    <x v="804"/>
  </r>
  <r>
    <x v="959"/>
    <x v="945"/>
    <x v="255"/>
    <x v="146"/>
    <s v="Home&amp;Kitchen|Kitchen&amp;HomeAppliances|Vacuum,Cleaning&amp;Ironing|Irons,Steamers&amp;Accessories|Irons|DryIrons"/>
    <n v="549"/>
    <n v="1090"/>
    <x v="8"/>
    <x v="0"/>
    <x v="805"/>
  </r>
  <r>
    <x v="960"/>
    <x v="946"/>
    <x v="247"/>
    <x v="140"/>
    <s v="Home&amp;Kitchen|Heating,Cooling&amp;AirQuality|RoomHeaters|FanHeaters"/>
    <n v="899"/>
    <n v="2000"/>
    <x v="10"/>
    <x v="9"/>
    <x v="806"/>
  </r>
  <r>
    <x v="961"/>
    <x v="947"/>
    <x v="251"/>
    <x v="146"/>
    <s v="Home&amp;Kitchen|Kitchen&amp;HomeAppliances|Vacuum,Cleaning&amp;Ironing|Irons,Steamers&amp;Accessories|Irons|DryIrons"/>
    <n v="1321"/>
    <n v="1545"/>
    <x v="79"/>
    <x v="4"/>
    <x v="807"/>
  </r>
  <r>
    <x v="962"/>
    <x v="948"/>
    <x v="256"/>
    <x v="141"/>
    <s v="Home&amp;Kitchen|Kitchen&amp;HomeAppliances|Vacuum,Cleaning&amp;Ironing|Irons,Steamers&amp;Accessories|LintShavers"/>
    <n v="1099"/>
    <n v="1999"/>
    <x v="32"/>
    <x v="1"/>
    <x v="808"/>
  </r>
  <r>
    <x v="963"/>
    <x v="949"/>
    <x v="240"/>
    <x v="146"/>
    <s v="Home&amp;Kitchen|Kitchen&amp;HomeAppliances|Vacuum,Cleaning&amp;Ironing|Irons,Steamers&amp;Accessories|Irons|DryIrons"/>
    <n v="775"/>
    <n v="875"/>
    <x v="68"/>
    <x v="0"/>
    <x v="809"/>
  </r>
  <r>
    <x v="964"/>
    <x v="950"/>
    <x v="240"/>
    <x v="151"/>
    <s v="Home&amp;Kitchen|Heating,Cooling&amp;AirQuality|WaterHeaters&amp;Geysers|StorageWaterHeaters"/>
    <n v="6299"/>
    <n v="15270"/>
    <x v="53"/>
    <x v="3"/>
    <x v="810"/>
  </r>
  <r>
    <x v="965"/>
    <x v="951"/>
    <x v="251"/>
    <x v="155"/>
    <s v="Home&amp;Kitchen|Kitchen&amp;HomeAppliances|Vacuum,Cleaning&amp;Ironing|Irons,Steamers&amp;Accessories|Irons|SteamIrons"/>
    <n v="3190"/>
    <n v="4195"/>
    <x v="66"/>
    <x v="1"/>
    <x v="811"/>
  </r>
  <r>
    <x v="966"/>
    <x v="952"/>
    <x v="257"/>
    <x v="139"/>
    <s v="Home&amp;Kitchen|Heating,Cooling&amp;AirQuality|RoomHeaters|ElectricHeaters"/>
    <n v="799"/>
    <n v="1989"/>
    <x v="13"/>
    <x v="4"/>
    <x v="812"/>
  </r>
  <r>
    <x v="967"/>
    <x v="953"/>
    <x v="258"/>
    <x v="156"/>
    <s v="Home&amp;Kitchen|Kitchen&amp;HomeAppliances|SmallKitchenAppliances|JuicerMixerGrinders"/>
    <n v="2699"/>
    <n v="5000"/>
    <x v="18"/>
    <x v="1"/>
    <x v="813"/>
  </r>
  <r>
    <x v="968"/>
    <x v="954"/>
    <x v="235"/>
    <x v="146"/>
    <s v="Home&amp;Kitchen|Kitchen&amp;HomeAppliances|Vacuum,Cleaning&amp;Ironing|Irons,Steamers&amp;Accessories|Irons|DryIrons"/>
    <n v="599"/>
    <n v="990"/>
    <x v="17"/>
    <x v="2"/>
    <x v="814"/>
  </r>
  <r>
    <x v="969"/>
    <x v="955"/>
    <x v="253"/>
    <x v="150"/>
    <s v="Home&amp;Kitchen|Kitchen&amp;HomeAppliances|SmallKitchenAppliances|Kettles&amp;HotWaterDispensers|Kettle&amp;ToasterSets"/>
    <n v="749"/>
    <n v="1111"/>
    <x v="9"/>
    <x v="0"/>
    <x v="815"/>
  </r>
  <r>
    <x v="970"/>
    <x v="956"/>
    <x v="259"/>
    <x v="151"/>
    <s v="Home&amp;Kitchen|Heating,Cooling&amp;AirQuality|WaterHeaters&amp;Geysers|StorageWaterHeaters"/>
    <n v="6199"/>
    <n v="10400"/>
    <x v="54"/>
    <x v="3"/>
    <x v="816"/>
  </r>
  <r>
    <x v="971"/>
    <x v="957"/>
    <x v="260"/>
    <x v="160"/>
    <s v="Home&amp;Kitchen|Kitchen&amp;HomeAppliances|SmallKitchenAppliances|MiniFoodProcessors&amp;Choppers"/>
    <n v="1819"/>
    <n v="2490"/>
    <x v="35"/>
    <x v="5"/>
    <x v="817"/>
  </r>
  <r>
    <x v="972"/>
    <x v="958"/>
    <x v="246"/>
    <x v="150"/>
    <s v="Home&amp;Kitchen|Kitchen&amp;HomeAppliances|SmallKitchenAppliances|Kettles&amp;HotWaterDispensers|Kettle&amp;ToasterSets"/>
    <n v="1199"/>
    <n v="1900"/>
    <x v="42"/>
    <x v="1"/>
    <x v="818"/>
  </r>
  <r>
    <x v="973"/>
    <x v="959"/>
    <x v="239"/>
    <x v="147"/>
    <s v="Home&amp;Kitchen|Kitchen&amp;HomeAppliances|SmallKitchenAppliances|MixerGrinders"/>
    <n v="3249"/>
    <n v="6295"/>
    <x v="61"/>
    <x v="11"/>
    <x v="819"/>
  </r>
  <r>
    <x v="974"/>
    <x v="960"/>
    <x v="261"/>
    <x v="158"/>
    <s v="Home&amp;Kitchen|Kitchen&amp;HomeAppliances|SmallKitchenAppliances|EggBoilers"/>
    <n v="349"/>
    <n v="999"/>
    <x v="6"/>
    <x v="1"/>
    <x v="820"/>
  </r>
  <r>
    <x v="975"/>
    <x v="961"/>
    <x v="19"/>
    <x v="140"/>
    <s v="Home&amp;Kitchen|Heating,Cooling&amp;AirQuality|RoomHeaters|FanHeaters"/>
    <n v="1049"/>
    <n v="1699"/>
    <x v="16"/>
    <x v="19"/>
    <x v="821"/>
  </r>
  <r>
    <x v="976"/>
    <x v="962"/>
    <x v="262"/>
    <x v="161"/>
    <s v="Home&amp;Kitchen|Kitchen&amp;HomeAppliances|SmallKitchenAppliances|DigitalKitchenScales|DigitalScales"/>
    <n v="799"/>
    <n v="1500"/>
    <x v="41"/>
    <x v="4"/>
    <x v="822"/>
  </r>
  <r>
    <x v="977"/>
    <x v="963"/>
    <x v="240"/>
    <x v="151"/>
    <s v="Home&amp;Kitchen|Heating,Cooling&amp;AirQuality|WaterHeaters&amp;Geysers|StorageWaterHeaters"/>
    <n v="4999"/>
    <n v="9650"/>
    <x v="61"/>
    <x v="0"/>
    <x v="823"/>
  </r>
  <r>
    <x v="978"/>
    <x v="964"/>
    <x v="263"/>
    <x v="147"/>
    <s v="Home&amp;Kitchen|Kitchen&amp;HomeAppliances|SmallKitchenAppliances|MixerGrinders"/>
    <n v="6999"/>
    <n v="10590"/>
    <x v="67"/>
    <x v="5"/>
    <x v="824"/>
  </r>
  <r>
    <x v="979"/>
    <x v="965"/>
    <x v="256"/>
    <x v="142"/>
    <s v="Home&amp;Kitchen|Kitchen&amp;HomeAppliances|SmallKitchenAppliances|DigitalKitchenScales"/>
    <n v="799"/>
    <n v="1999"/>
    <x v="13"/>
    <x v="3"/>
    <x v="825"/>
  </r>
  <r>
    <x v="980"/>
    <x v="966"/>
    <x v="264"/>
    <x v="162"/>
    <s v="Home&amp;Kitchen|Kitchen&amp;HomeAppliances|SmallKitchenAppliances|VacuumSealers"/>
    <n v="89"/>
    <n v="89"/>
    <x v="26"/>
    <x v="0"/>
    <x v="826"/>
  </r>
  <r>
    <x v="981"/>
    <x v="967"/>
    <x v="255"/>
    <x v="163"/>
    <s v="Home&amp;Kitchen|Heating,Cooling&amp;AirQuality|Fans|CeilingFans"/>
    <n v="1400"/>
    <n v="2485"/>
    <x v="15"/>
    <x v="3"/>
    <x v="827"/>
  </r>
  <r>
    <x v="982"/>
    <x v="968"/>
    <x v="250"/>
    <x v="154"/>
    <s v="Home&amp;Kitchen|HomeStorage&amp;Organization|LaundryOrganization|LaundryBaskets"/>
    <n v="355"/>
    <n v="899"/>
    <x v="4"/>
    <x v="3"/>
    <x v="828"/>
  </r>
  <r>
    <x v="983"/>
    <x v="969"/>
    <x v="240"/>
    <x v="139"/>
    <s v="Home&amp;Kitchen|Heating,Cooling&amp;AirQuality|RoomHeaters|ElectricHeaters"/>
    <n v="2169"/>
    <n v="3279"/>
    <x v="67"/>
    <x v="3"/>
    <x v="829"/>
  </r>
  <r>
    <x v="984"/>
    <x v="970"/>
    <x v="265"/>
    <x v="164"/>
    <s v="Home&amp;Kitchen|Kitchen&amp;HomeAppliances|Vacuum,Cleaning&amp;Ironing|Vacuums&amp;FloorCare|Vacuums|CanisterVacuums"/>
    <n v="2799"/>
    <n v="3799"/>
    <x v="55"/>
    <x v="2"/>
    <x v="830"/>
  </r>
  <r>
    <x v="985"/>
    <x v="971"/>
    <x v="234"/>
    <x v="138"/>
    <s v="Home&amp;Kitchen|Kitchen&amp;HomeAppliances|SmallKitchenAppliances|Kettles&amp;HotWaterDispensers|ElectricKettles"/>
    <n v="899"/>
    <n v="1249"/>
    <x v="28"/>
    <x v="2"/>
    <x v="831"/>
  </r>
  <r>
    <x v="986"/>
    <x v="972"/>
    <x v="266"/>
    <x v="149"/>
    <s v="Home&amp;Kitchen|Heating,Cooling&amp;AirQuality|RoomHeaters"/>
    <n v="2499"/>
    <n v="5000"/>
    <x v="8"/>
    <x v="11"/>
    <x v="832"/>
  </r>
  <r>
    <x v="987"/>
    <x v="973"/>
    <x v="259"/>
    <x v="148"/>
    <s v="Home&amp;Kitchen|Heating,Cooling&amp;AirQuality|WaterHeaters&amp;Geysers|InstantWaterHeaters"/>
    <n v="3599"/>
    <n v="7299"/>
    <x v="24"/>
    <x v="1"/>
    <x v="833"/>
  </r>
  <r>
    <x v="988"/>
    <x v="974"/>
    <x v="240"/>
    <x v="146"/>
    <s v="Home&amp;Kitchen|Kitchen&amp;HomeAppliances|Vacuum,Cleaning&amp;Ironing|Irons,Steamers&amp;Accessories|Irons|DryIrons"/>
    <n v="499"/>
    <n v="625"/>
    <x v="52"/>
    <x v="0"/>
    <x v="834"/>
  </r>
  <r>
    <x v="989"/>
    <x v="975"/>
    <x v="240"/>
    <x v="152"/>
    <s v="Home&amp;Kitchen|Heating,Cooling&amp;AirQuality|WaterHeaters&amp;Geysers|ImmersionRods"/>
    <n v="653"/>
    <n v="1020"/>
    <x v="63"/>
    <x v="3"/>
    <x v="835"/>
  </r>
  <r>
    <x v="990"/>
    <x v="976"/>
    <x v="76"/>
    <x v="165"/>
    <s v="Home&amp;Kitchen|Kitchen&amp;HomeAppliances|Vacuum,Cleaning&amp;Ironing|PressureWashers,Steam&amp;WindowCleaners"/>
    <n v="4789"/>
    <n v="8990"/>
    <x v="41"/>
    <x v="4"/>
    <x v="836"/>
  </r>
  <r>
    <x v="991"/>
    <x v="977"/>
    <x v="240"/>
    <x v="166"/>
    <s v="Home&amp;Kitchen|Heating,Cooling&amp;AirQuality|RoomHeaters|HalogenHeaters"/>
    <n v="1409"/>
    <n v="1639"/>
    <x v="79"/>
    <x v="7"/>
    <x v="837"/>
  </r>
  <r>
    <x v="992"/>
    <x v="978"/>
    <x v="242"/>
    <x v="145"/>
    <s v="Home&amp;Kitchen|Kitchen&amp;HomeAppliances|SmallKitchenAppliances|HandBlenders"/>
    <n v="753"/>
    <n v="899"/>
    <x v="81"/>
    <x v="0"/>
    <x v="838"/>
  </r>
  <r>
    <x v="993"/>
    <x v="979"/>
    <x v="267"/>
    <x v="158"/>
    <s v="Home&amp;Kitchen|Kitchen&amp;HomeAppliances|SmallKitchenAppliances|EggBoilers"/>
    <n v="353"/>
    <n v="1199"/>
    <x v="58"/>
    <x v="4"/>
    <x v="839"/>
  </r>
  <r>
    <x v="994"/>
    <x v="980"/>
    <x v="262"/>
    <x v="142"/>
    <s v="Home&amp;Kitchen|Kitchen&amp;HomeAppliances|SmallKitchenAppliances|DigitalKitchenScales"/>
    <n v="1099"/>
    <n v="1899"/>
    <x v="21"/>
    <x v="4"/>
    <x v="840"/>
  </r>
  <r>
    <x v="995"/>
    <x v="981"/>
    <x v="251"/>
    <x v="153"/>
    <s v="Home&amp;Kitchen|Kitchen&amp;HomeAppliances|SmallKitchenAppliances|DeepFatFryers|AirFryers"/>
    <n v="8799"/>
    <n v="11595"/>
    <x v="66"/>
    <x v="5"/>
    <x v="841"/>
  </r>
  <r>
    <x v="996"/>
    <x v="982"/>
    <x v="268"/>
    <x v="138"/>
    <s v="Home&amp;Kitchen|Kitchen&amp;HomeAppliances|SmallKitchenAppliances|Kettles&amp;HotWaterDispensers|ElectricKettles"/>
    <n v="1345"/>
    <n v="1750"/>
    <x v="7"/>
    <x v="11"/>
    <x v="842"/>
  </r>
  <r>
    <x v="997"/>
    <x v="983"/>
    <x v="251"/>
    <x v="167"/>
    <s v="Home&amp;Kitchen|Kitchen&amp;HomeAppliances|SmallKitchenAppliances|Pop-upToasters"/>
    <n v="2095"/>
    <n v="2095"/>
    <x v="26"/>
    <x v="6"/>
    <x v="843"/>
  </r>
  <r>
    <x v="998"/>
    <x v="984"/>
    <x v="259"/>
    <x v="139"/>
    <s v="Home&amp;Kitchen|Heating,Cooling&amp;AirQuality|RoomHeaters|ElectricHeaters"/>
    <n v="1498"/>
    <n v="2300"/>
    <x v="31"/>
    <x v="11"/>
    <x v="844"/>
  </r>
  <r>
    <x v="999"/>
    <x v="985"/>
    <x v="235"/>
    <x v="168"/>
    <s v="Home&amp;Kitchen|Heating,Cooling&amp;AirQuality|RoomHeaters|HeatConvectors"/>
    <n v="2199"/>
    <n v="2990"/>
    <x v="55"/>
    <x v="11"/>
    <x v="845"/>
  </r>
  <r>
    <x v="1000"/>
    <x v="986"/>
    <x v="251"/>
    <x v="147"/>
    <s v="Home&amp;Kitchen|Kitchen&amp;HomeAppliances|SmallKitchenAppliances|MixerGrinders"/>
    <n v="3699"/>
    <n v="4295"/>
    <x v="79"/>
    <x v="3"/>
    <x v="846"/>
  </r>
  <r>
    <x v="1001"/>
    <x v="987"/>
    <x v="269"/>
    <x v="154"/>
    <s v="Home&amp;Kitchen|HomeStorage&amp;Organization|LaundryOrganization|LaundryBaskets"/>
    <n v="177"/>
    <n v="199"/>
    <x v="68"/>
    <x v="3"/>
    <x v="847"/>
  </r>
  <r>
    <x v="1002"/>
    <x v="988"/>
    <x v="247"/>
    <x v="147"/>
    <s v="Home&amp;Kitchen|Kitchen&amp;HomeAppliances|SmallKitchenAppliances|MixerGrinders"/>
    <n v="1149"/>
    <n v="2499"/>
    <x v="34"/>
    <x v="11"/>
    <x v="848"/>
  </r>
  <r>
    <x v="1003"/>
    <x v="989"/>
    <x v="270"/>
    <x v="169"/>
    <s v="Home&amp;Kitchen|Kitchen&amp;HomeAppliances|Coffee,Tea&amp;Espresso|CoffeeGrinders|ElectricGrinders"/>
    <n v="244"/>
    <n v="499"/>
    <x v="24"/>
    <x v="8"/>
    <x v="849"/>
  </r>
  <r>
    <x v="1004"/>
    <x v="990"/>
    <x v="259"/>
    <x v="139"/>
    <s v="Home&amp;Kitchen|Heating,Cooling&amp;AirQuality|RoomHeaters|ElectricHeaters"/>
    <n v="1959"/>
    <n v="2400"/>
    <x v="74"/>
    <x v="1"/>
    <x v="850"/>
  </r>
  <r>
    <x v="1005"/>
    <x v="991"/>
    <x v="271"/>
    <x v="141"/>
    <s v="Home&amp;Kitchen|Kitchen&amp;HomeAppliances|Vacuum,Cleaning&amp;Ironing|Irons,Steamers&amp;Accessories|LintShavers"/>
    <n v="319"/>
    <n v="749"/>
    <x v="48"/>
    <x v="13"/>
    <x v="851"/>
  </r>
  <r>
    <x v="1006"/>
    <x v="992"/>
    <x v="234"/>
    <x v="138"/>
    <s v="Home&amp;Kitchen|Kitchen&amp;HomeAppliances|SmallKitchenAppliances|Kettles&amp;HotWaterDispensers|ElectricKettles"/>
    <n v="1499"/>
    <n v="1775"/>
    <x v="81"/>
    <x v="2"/>
    <x v="852"/>
  </r>
  <r>
    <x v="1007"/>
    <x v="993"/>
    <x v="272"/>
    <x v="141"/>
    <s v="Home&amp;Kitchen|Kitchen&amp;HomeAppliances|Vacuum,Cleaning&amp;Ironing|Irons,Steamers&amp;Accessories|LintShavers"/>
    <n v="469"/>
    <n v="1599"/>
    <x v="58"/>
    <x v="7"/>
    <x v="853"/>
  </r>
  <r>
    <x v="1008"/>
    <x v="994"/>
    <x v="234"/>
    <x v="167"/>
    <s v="Home&amp;Kitchen|Kitchen&amp;HomeAppliances|SmallKitchenAppliances|Pop-upToasters"/>
    <n v="1099"/>
    <n v="1795"/>
    <x v="17"/>
    <x v="0"/>
    <x v="854"/>
  </r>
  <r>
    <x v="1009"/>
    <x v="995"/>
    <x v="240"/>
    <x v="140"/>
    <s v="Home&amp;Kitchen|Heating,Cooling&amp;AirQuality|RoomHeaters|FanHeaters"/>
    <n v="9590"/>
    <n v="15999"/>
    <x v="54"/>
    <x v="3"/>
    <x v="836"/>
  </r>
  <r>
    <x v="1010"/>
    <x v="996"/>
    <x v="273"/>
    <x v="170"/>
    <s v="Home&amp;Kitchen|Heating,Cooling&amp;AirQuality|Fans|ExhaustFans"/>
    <n v="999"/>
    <n v="1490"/>
    <x v="9"/>
    <x v="3"/>
    <x v="855"/>
  </r>
  <r>
    <x v="1011"/>
    <x v="997"/>
    <x v="274"/>
    <x v="150"/>
    <s v="Home&amp;Kitchen|Kitchen&amp;HomeAppliances|SmallKitchenAppliances|Kettles&amp;HotWaterDispensers|Kettle&amp;ToasterSets"/>
    <n v="1299"/>
    <n v="1999"/>
    <x v="31"/>
    <x v="11"/>
    <x v="856"/>
  </r>
  <r>
    <x v="1012"/>
    <x v="998"/>
    <x v="275"/>
    <x v="171"/>
    <s v="Home&amp;Kitchen|Kitchen&amp;HomeAppliances|Coffee,Tea&amp;Espresso|DripCoffeeMachines"/>
    <n v="292"/>
    <n v="499"/>
    <x v="19"/>
    <x v="3"/>
    <x v="857"/>
  </r>
  <r>
    <x v="1013"/>
    <x v="999"/>
    <x v="270"/>
    <x v="162"/>
    <s v="Home&amp;Kitchen|Kitchen&amp;HomeAppliances|SmallKitchenAppliances|VacuumSealers"/>
    <n v="160"/>
    <n v="299"/>
    <x v="18"/>
    <x v="13"/>
    <x v="858"/>
  </r>
  <r>
    <x v="1014"/>
    <x v="1000"/>
    <x v="276"/>
    <x v="172"/>
    <s v="Home&amp;Kitchen|Kitchen&amp;HomeAppliances|WaterPurifiers&amp;Accessories|WaterPurifierAccessories"/>
    <n v="600"/>
    <n v="600"/>
    <x v="26"/>
    <x v="3"/>
    <x v="859"/>
  </r>
  <r>
    <x v="1015"/>
    <x v="1001"/>
    <x v="276"/>
    <x v="173"/>
    <s v="Home&amp;Kitchen|Kitchen&amp;HomeAppliances|WaterPurifiers&amp;Accessories|WaterCartridges"/>
    <n v="1130"/>
    <n v="1130"/>
    <x v="26"/>
    <x v="0"/>
    <x v="860"/>
  </r>
  <r>
    <x v="1016"/>
    <x v="1002"/>
    <x v="239"/>
    <x v="147"/>
    <s v="Home&amp;Kitchen|Kitchen&amp;HomeAppliances|SmallKitchenAppliances|MixerGrinders"/>
    <n v="3249"/>
    <n v="6295"/>
    <x v="61"/>
    <x v="2"/>
    <x v="861"/>
  </r>
  <r>
    <x v="1017"/>
    <x v="1003"/>
    <x v="277"/>
    <x v="147"/>
    <s v="Home&amp;Kitchen|Kitchen&amp;HomeAppliances|SmallKitchenAppliances|MixerGrinders"/>
    <n v="3599"/>
    <n v="9455"/>
    <x v="33"/>
    <x v="3"/>
    <x v="862"/>
  </r>
  <r>
    <x v="1018"/>
    <x v="1004"/>
    <x v="278"/>
    <x v="158"/>
    <s v="Home&amp;Kitchen|Kitchen&amp;HomeAppliances|SmallKitchenAppliances|EggBoilers"/>
    <n v="368"/>
    <n v="699"/>
    <x v="41"/>
    <x v="3"/>
    <x v="863"/>
  </r>
  <r>
    <x v="1019"/>
    <x v="1005"/>
    <x v="253"/>
    <x v="147"/>
    <s v="Home&amp;Kitchen|Kitchen&amp;HomeAppliances|SmallKitchenAppliances|MixerGrinders"/>
    <n v="3199"/>
    <n v="4999"/>
    <x v="63"/>
    <x v="1"/>
    <x v="864"/>
  </r>
  <r>
    <x v="1020"/>
    <x v="1006"/>
    <x v="246"/>
    <x v="174"/>
    <s v="Home&amp;Kitchen|Kitchen&amp;HomeAppliances|SmallKitchenAppliances|Rice&amp;PastaCookers"/>
    <n v="1599"/>
    <n v="2900"/>
    <x v="32"/>
    <x v="7"/>
    <x v="865"/>
  </r>
  <r>
    <x v="1021"/>
    <x v="1007"/>
    <x v="279"/>
    <x v="145"/>
    <s v="Home&amp;Kitchen|Kitchen&amp;HomeAppliances|SmallKitchenAppliances|HandBlenders"/>
    <n v="1999"/>
    <n v="2499"/>
    <x v="52"/>
    <x v="3"/>
    <x v="866"/>
  </r>
  <r>
    <x v="1022"/>
    <x v="1008"/>
    <x v="235"/>
    <x v="146"/>
    <s v="Home&amp;Kitchen|Kitchen&amp;HomeAppliances|Vacuum,Cleaning&amp;Ironing|Irons,Steamers&amp;Accessories|Irons|DryIrons"/>
    <n v="616"/>
    <n v="1190"/>
    <x v="61"/>
    <x v="3"/>
    <x v="867"/>
  </r>
  <r>
    <x v="1023"/>
    <x v="1009"/>
    <x v="246"/>
    <x v="145"/>
    <s v="Home&amp;Kitchen|Kitchen&amp;HomeAppliances|SmallKitchenAppliances|HandBlenders"/>
    <n v="1499"/>
    <n v="2100"/>
    <x v="56"/>
    <x v="3"/>
    <x v="868"/>
  </r>
  <r>
    <x v="1024"/>
    <x v="1010"/>
    <x v="280"/>
    <x v="162"/>
    <s v="Home&amp;Kitchen|Kitchen&amp;HomeAppliances|SmallKitchenAppliances|VacuumSealers"/>
    <n v="199"/>
    <n v="499"/>
    <x v="13"/>
    <x v="8"/>
    <x v="119"/>
  </r>
  <r>
    <x v="1025"/>
    <x v="1011"/>
    <x v="259"/>
    <x v="152"/>
    <s v="Home&amp;Kitchen|Heating,Cooling&amp;AirQuality|WaterHeaters&amp;Geysers|ImmersionRods"/>
    <n v="610"/>
    <n v="825"/>
    <x v="55"/>
    <x v="3"/>
    <x v="869"/>
  </r>
  <r>
    <x v="1026"/>
    <x v="1012"/>
    <x v="279"/>
    <x v="160"/>
    <s v="Home&amp;Kitchen|Kitchen&amp;HomeAppliances|SmallKitchenAppliances|MiniFoodProcessors&amp;Choppers"/>
    <n v="999"/>
    <n v="1499"/>
    <x v="9"/>
    <x v="3"/>
    <x v="870"/>
  </r>
  <r>
    <x v="1027"/>
    <x v="1013"/>
    <x v="251"/>
    <x v="164"/>
    <s v="Home&amp;Kitchen|Kitchen&amp;HomeAppliances|Vacuum,Cleaning&amp;Ironing|Vacuums&amp;FloorCare|Vacuums|CanisterVacuums"/>
    <n v="8999"/>
    <n v="9995"/>
    <x v="78"/>
    <x v="5"/>
    <x v="871"/>
  </r>
  <r>
    <x v="1028"/>
    <x v="1014"/>
    <x v="281"/>
    <x v="141"/>
    <s v="Home&amp;Kitchen|Kitchen&amp;HomeAppliances|Vacuum,Cleaning&amp;Ironing|Irons,Steamers&amp;Accessories|LintShavers"/>
    <n v="453"/>
    <n v="999"/>
    <x v="10"/>
    <x v="4"/>
    <x v="872"/>
  </r>
  <r>
    <x v="1029"/>
    <x v="1015"/>
    <x v="282"/>
    <x v="147"/>
    <s v="Home&amp;Kitchen|Kitchen&amp;HomeAppliances|SmallKitchenAppliances|MixerGrinders"/>
    <n v="2464"/>
    <n v="6000"/>
    <x v="53"/>
    <x v="3"/>
    <x v="375"/>
  </r>
  <r>
    <x v="1030"/>
    <x v="1016"/>
    <x v="239"/>
    <x v="174"/>
    <s v="Home&amp;Kitchen|Kitchen&amp;HomeAppliances|SmallKitchenAppliances|Rice&amp;PastaCookers"/>
    <n v="2719"/>
    <n v="3945"/>
    <x v="39"/>
    <x v="7"/>
    <x v="873"/>
  </r>
  <r>
    <x v="1031"/>
    <x v="1017"/>
    <x v="283"/>
    <x v="148"/>
    <s v="Home&amp;Kitchen|Heating,Cooling&amp;AirQuality|WaterHeaters&amp;Geysers|InstantWaterHeaters"/>
    <n v="1439"/>
    <n v="1999"/>
    <x v="28"/>
    <x v="20"/>
    <x v="874"/>
  </r>
  <r>
    <x v="1032"/>
    <x v="1018"/>
    <x v="279"/>
    <x v="145"/>
    <s v="Home&amp;Kitchen|Kitchen&amp;HomeAppliances|SmallKitchenAppliances|HandBlenders"/>
    <n v="2799"/>
    <n v="3499"/>
    <x v="52"/>
    <x v="6"/>
    <x v="875"/>
  </r>
  <r>
    <x v="1033"/>
    <x v="1019"/>
    <x v="247"/>
    <x v="148"/>
    <s v="Home&amp;Kitchen|Heating,Cooling&amp;AirQuality|WaterHeaters&amp;Geysers|InstantWaterHeaters"/>
    <n v="2088"/>
    <n v="5550"/>
    <x v="33"/>
    <x v="1"/>
    <x v="876"/>
  </r>
  <r>
    <x v="1034"/>
    <x v="1020"/>
    <x v="284"/>
    <x v="148"/>
    <s v="Home&amp;Kitchen|Heating,Cooling&amp;AirQuality|WaterHeaters&amp;Geysers|InstantWaterHeaters"/>
    <n v="2399"/>
    <n v="4590"/>
    <x v="61"/>
    <x v="3"/>
    <x v="877"/>
  </r>
  <r>
    <x v="1035"/>
    <x v="1021"/>
    <x v="285"/>
    <x v="142"/>
    <s v="Home&amp;Kitchen|Kitchen&amp;HomeAppliances|SmallKitchenAppliances|DigitalKitchenScales"/>
    <n v="308"/>
    <n v="499"/>
    <x v="16"/>
    <x v="2"/>
    <x v="878"/>
  </r>
  <r>
    <x v="1036"/>
    <x v="1022"/>
    <x v="259"/>
    <x v="148"/>
    <s v="Home&amp;Kitchen|Heating,Cooling&amp;AirQuality|WaterHeaters&amp;Geysers|InstantWaterHeaters"/>
    <n v="2599"/>
    <n v="4400"/>
    <x v="19"/>
    <x v="3"/>
    <x v="879"/>
  </r>
  <r>
    <x v="1037"/>
    <x v="1023"/>
    <x v="42"/>
    <x v="146"/>
    <s v="Home&amp;Kitchen|Kitchen&amp;HomeAppliances|Vacuum,Cleaning&amp;Ironing|Irons,Steamers&amp;Accessories|Irons|DryIrons"/>
    <n v="479"/>
    <n v="1000"/>
    <x v="50"/>
    <x v="0"/>
    <x v="880"/>
  </r>
  <r>
    <x v="1038"/>
    <x v="1024"/>
    <x v="271"/>
    <x v="141"/>
    <s v="Home&amp;Kitchen|Kitchen&amp;HomeAppliances|Vacuum,Cleaning&amp;Ironing|Irons,Steamers&amp;Accessories|LintShavers"/>
    <n v="245"/>
    <n v="299"/>
    <x v="74"/>
    <x v="3"/>
    <x v="881"/>
  </r>
  <r>
    <x v="1039"/>
    <x v="1025"/>
    <x v="286"/>
    <x v="141"/>
    <s v="Home&amp;Kitchen|Kitchen&amp;HomeAppliances|Vacuum,Cleaning&amp;Ironing|Irons,Steamers&amp;Accessories|LintShavers"/>
    <n v="179"/>
    <n v="799"/>
    <x v="38"/>
    <x v="12"/>
    <x v="93"/>
  </r>
  <r>
    <x v="1040"/>
    <x v="1026"/>
    <x v="287"/>
    <x v="163"/>
    <s v="Home&amp;Kitchen|Heating,Cooling&amp;AirQuality|Fans|CeilingFans"/>
    <n v="3569"/>
    <n v="5190"/>
    <x v="39"/>
    <x v="4"/>
    <x v="882"/>
  </r>
  <r>
    <x v="1041"/>
    <x v="1027"/>
    <x v="234"/>
    <x v="138"/>
    <s v="Home&amp;Kitchen|Kitchen&amp;HomeAppliances|SmallKitchenAppliances|Kettles&amp;HotWaterDispensers|ElectricKettles"/>
    <n v="699"/>
    <n v="1345"/>
    <x v="61"/>
    <x v="2"/>
    <x v="883"/>
  </r>
  <r>
    <x v="1042"/>
    <x v="1028"/>
    <x v="235"/>
    <x v="144"/>
    <s v="Home&amp;Kitchen|Kitchen&amp;HomeAppliances|SmallKitchenAppliances|InductionCooktop"/>
    <n v="2089"/>
    <n v="4000"/>
    <x v="61"/>
    <x v="0"/>
    <x v="884"/>
  </r>
  <r>
    <x v="1043"/>
    <x v="1029"/>
    <x v="288"/>
    <x v="175"/>
    <s v="Car&amp;Motorbike|CarAccessories|InteriorAccessories|AirPurifiers&amp;Ionizers"/>
    <n v="2339"/>
    <n v="4000"/>
    <x v="21"/>
    <x v="11"/>
    <x v="885"/>
  </r>
  <r>
    <x v="1044"/>
    <x v="1030"/>
    <x v="289"/>
    <x v="140"/>
    <s v="Home&amp;Kitchen|Heating,Cooling&amp;AirQuality|RoomHeaters|FanHeaters"/>
    <n v="784"/>
    <n v="1599"/>
    <x v="24"/>
    <x v="6"/>
    <x v="886"/>
  </r>
  <r>
    <x v="1045"/>
    <x v="1031"/>
    <x v="265"/>
    <x v="176"/>
    <s v="Home&amp;Kitchen|Kitchen&amp;HomeAppliances|Vacuum,Cleaning&amp;Ironing|Vacuums&amp;FloorCare|Vacuums|Wet-DryVacuums"/>
    <n v="5499"/>
    <n v="9999"/>
    <x v="32"/>
    <x v="11"/>
    <x v="887"/>
  </r>
  <r>
    <x v="1046"/>
    <x v="1032"/>
    <x v="290"/>
    <x v="140"/>
    <s v="Home&amp;Kitchen|Heating,Cooling&amp;AirQuality|RoomHeaters|FanHeaters"/>
    <n v="899"/>
    <n v="1990"/>
    <x v="10"/>
    <x v="3"/>
    <x v="189"/>
  </r>
  <r>
    <x v="1047"/>
    <x v="1033"/>
    <x v="251"/>
    <x v="145"/>
    <s v="Home&amp;Kitchen|Kitchen&amp;HomeAppliances|SmallKitchenAppliances|HandBlenders"/>
    <n v="1695"/>
    <n v="1695"/>
    <x v="26"/>
    <x v="0"/>
    <x v="888"/>
  </r>
  <r>
    <x v="1048"/>
    <x v="1034"/>
    <x v="240"/>
    <x v="146"/>
    <s v="Home&amp;Kitchen|Kitchen&amp;HomeAppliances|Vacuum,Cleaning&amp;Ironing|Irons,Steamers&amp;Accessories|Irons|DryIrons"/>
    <n v="499"/>
    <n v="940"/>
    <x v="41"/>
    <x v="3"/>
    <x v="889"/>
  </r>
  <r>
    <x v="1049"/>
    <x v="1035"/>
    <x v="291"/>
    <x v="148"/>
    <s v="Home&amp;Kitchen|Heating,Cooling&amp;AirQuality|WaterHeaters&amp;Geysers|InstantWaterHeaters"/>
    <n v="2699"/>
    <n v="4700"/>
    <x v="1"/>
    <x v="0"/>
    <x v="890"/>
  </r>
  <r>
    <x v="1050"/>
    <x v="1036"/>
    <x v="292"/>
    <x v="148"/>
    <s v="Home&amp;Kitchen|Heating,Cooling&amp;AirQuality|WaterHeaters&amp;Geysers|InstantWaterHeaters"/>
    <n v="1448"/>
    <n v="2999"/>
    <x v="50"/>
    <x v="6"/>
    <x v="891"/>
  </r>
  <r>
    <x v="1051"/>
    <x v="1037"/>
    <x v="293"/>
    <x v="162"/>
    <s v="Home&amp;Kitchen|Kitchen&amp;HomeAppliances|SmallKitchenAppliances|VacuumSealers"/>
    <n v="79"/>
    <n v="79"/>
    <x v="26"/>
    <x v="1"/>
    <x v="892"/>
  </r>
  <r>
    <x v="1052"/>
    <x v="1038"/>
    <x v="244"/>
    <x v="151"/>
    <s v="Home&amp;Kitchen|Heating,Cooling&amp;AirQuality|WaterHeaters&amp;Geysers|StorageWaterHeaters"/>
    <n v="6990"/>
    <n v="14290"/>
    <x v="24"/>
    <x v="5"/>
    <x v="893"/>
  </r>
  <r>
    <x v="1053"/>
    <x v="1039"/>
    <x v="239"/>
    <x v="144"/>
    <s v="Home&amp;Kitchen|Kitchen&amp;HomeAppliances|SmallKitchenAppliances|InductionCooktop"/>
    <n v="2698"/>
    <n v="3945"/>
    <x v="44"/>
    <x v="1"/>
    <x v="894"/>
  </r>
  <r>
    <x v="1054"/>
    <x v="1040"/>
    <x v="76"/>
    <x v="176"/>
    <s v="Home&amp;Kitchen|Kitchen&amp;HomeAppliances|Vacuum,Cleaning&amp;Ironing|Vacuums&amp;FloorCare|Vacuums|Wet-DryVacuums"/>
    <n v="3199"/>
    <n v="5999"/>
    <x v="41"/>
    <x v="1"/>
    <x v="895"/>
  </r>
  <r>
    <x v="1055"/>
    <x v="1041"/>
    <x v="246"/>
    <x v="150"/>
    <s v="Home&amp;Kitchen|Kitchen&amp;HomeAppliances|SmallKitchenAppliances|Kettles&amp;HotWaterDispensers|Kettle&amp;ToasterSets"/>
    <n v="1199"/>
    <n v="1950"/>
    <x v="17"/>
    <x v="2"/>
    <x v="896"/>
  </r>
  <r>
    <x v="1056"/>
    <x v="1042"/>
    <x v="294"/>
    <x v="160"/>
    <s v="Home&amp;Kitchen|Kitchen&amp;HomeAppliances|SmallKitchenAppliances|MiniFoodProcessors&amp;Choppers"/>
    <n v="1414"/>
    <n v="2799"/>
    <x v="75"/>
    <x v="1"/>
    <x v="897"/>
  </r>
  <r>
    <x v="1057"/>
    <x v="1043"/>
    <x v="246"/>
    <x v="138"/>
    <s v="Home&amp;Kitchen|Kitchen&amp;HomeAppliances|SmallKitchenAppliances|Kettles&amp;HotWaterDispensers|ElectricKettles"/>
    <n v="999"/>
    <n v="1950"/>
    <x v="75"/>
    <x v="11"/>
    <x v="386"/>
  </r>
  <r>
    <x v="1058"/>
    <x v="1044"/>
    <x v="265"/>
    <x v="164"/>
    <s v="Home&amp;Kitchen|Kitchen&amp;HomeAppliances|Vacuum,Cleaning&amp;Ironing|Vacuums&amp;FloorCare|Vacuums|CanisterVacuums"/>
    <n v="5999"/>
    <n v="9999"/>
    <x v="54"/>
    <x v="0"/>
    <x v="898"/>
  </r>
  <r>
    <x v="1059"/>
    <x v="1045"/>
    <x v="6"/>
    <x v="177"/>
    <s v="Home&amp;Kitchen|Heating,Cooling&amp;AirQuality|AirPurifiers|HEPAAirPurifiers"/>
    <n v="9970"/>
    <n v="12999"/>
    <x v="7"/>
    <x v="4"/>
    <x v="899"/>
  </r>
  <r>
    <x v="1060"/>
    <x v="1046"/>
    <x v="22"/>
    <x v="178"/>
    <s v="Home&amp;Kitchen|Kitchen&amp;HomeAppliances|WaterPurifiers&amp;Accessories|WaterFilters&amp;Purifiers"/>
    <n v="698"/>
    <n v="699"/>
    <x v="26"/>
    <x v="0"/>
    <x v="900"/>
  </r>
  <r>
    <x v="1061"/>
    <x v="1047"/>
    <x v="244"/>
    <x v="163"/>
    <s v="Home&amp;Kitchen|Heating,Cooling&amp;AirQuality|Fans|CeilingFans"/>
    <n v="2199"/>
    <n v="3190"/>
    <x v="39"/>
    <x v="4"/>
    <x v="901"/>
  </r>
  <r>
    <x v="1062"/>
    <x v="1048"/>
    <x v="250"/>
    <x v="179"/>
    <s v="Home&amp;Kitchen|HomeStorage&amp;Organization|LaundryOrganization|LaundryBags"/>
    <n v="320"/>
    <n v="799"/>
    <x v="13"/>
    <x v="0"/>
    <x v="902"/>
  </r>
  <r>
    <x v="1063"/>
    <x v="1049"/>
    <x v="295"/>
    <x v="141"/>
    <s v="Home&amp;Kitchen|Kitchen&amp;HomeAppliances|Vacuum,Cleaning&amp;Ironing|Irons,Steamers&amp;Accessories|LintShavers"/>
    <n v="298"/>
    <n v="499"/>
    <x v="54"/>
    <x v="5"/>
    <x v="903"/>
  </r>
  <r>
    <x v="1064"/>
    <x v="1050"/>
    <x v="296"/>
    <x v="156"/>
    <s v="Home&amp;Kitchen|Kitchen&amp;HomeAppliances|SmallKitchenAppliances|JuicerMixerGrinders"/>
    <n v="1199"/>
    <n v="1499"/>
    <x v="52"/>
    <x v="11"/>
    <x v="904"/>
  </r>
  <r>
    <x v="1065"/>
    <x v="1051"/>
    <x v="240"/>
    <x v="163"/>
    <s v="Home&amp;Kitchen|Heating,Cooling&amp;AirQuality|Fans|CeilingFans"/>
    <n v="1399"/>
    <n v="2660"/>
    <x v="41"/>
    <x v="3"/>
    <x v="905"/>
  </r>
  <r>
    <x v="1066"/>
    <x v="1052"/>
    <x v="297"/>
    <x v="142"/>
    <s v="Home&amp;Kitchen|Kitchen&amp;HomeAppliances|SmallKitchenAppliances|DigitalKitchenScales"/>
    <n v="599"/>
    <n v="2799"/>
    <x v="71"/>
    <x v="2"/>
    <x v="906"/>
  </r>
  <r>
    <x v="1067"/>
    <x v="1053"/>
    <x v="240"/>
    <x v="167"/>
    <s v="Home&amp;Kitchen|Kitchen&amp;HomeAppliances|SmallKitchenAppliances|Pop-upToasters"/>
    <n v="1499"/>
    <n v="1499"/>
    <x v="26"/>
    <x v="4"/>
    <x v="907"/>
  </r>
  <r>
    <x v="1068"/>
    <x v="1054"/>
    <x v="298"/>
    <x v="177"/>
    <s v="Home&amp;Kitchen|Heating,Cooling&amp;AirQuality|AirPurifiers|HEPAAirPurifiers"/>
    <n v="14400"/>
    <n v="59900"/>
    <x v="60"/>
    <x v="5"/>
    <x v="908"/>
  </r>
  <r>
    <x v="1069"/>
    <x v="1055"/>
    <x v="246"/>
    <x v="178"/>
    <s v="Home&amp;Kitchen|Kitchen&amp;HomeAppliances|WaterPurifiers&amp;Accessories|WaterFilters&amp;Purifiers"/>
    <n v="1699"/>
    <n v="1900"/>
    <x v="68"/>
    <x v="9"/>
    <x v="909"/>
  </r>
  <r>
    <x v="1070"/>
    <x v="1056"/>
    <x v="299"/>
    <x v="139"/>
    <s v="Home&amp;Kitchen|Heating,Cooling&amp;AirQuality|RoomHeaters|ElectricHeaters"/>
    <n v="649"/>
    <n v="999"/>
    <x v="31"/>
    <x v="11"/>
    <x v="910"/>
  </r>
  <r>
    <x v="1071"/>
    <x v="1057"/>
    <x v="240"/>
    <x v="147"/>
    <s v="Home&amp;Kitchen|Kitchen&amp;HomeAppliances|SmallKitchenAppliances|MixerGrinders"/>
    <n v="3249"/>
    <n v="6375"/>
    <x v="75"/>
    <x v="1"/>
    <x v="911"/>
  </r>
  <r>
    <x v="1072"/>
    <x v="1058"/>
    <x v="300"/>
    <x v="154"/>
    <s v="Home&amp;Kitchen|HomeStorage&amp;Organization|LaundryOrganization|LaundryBaskets"/>
    <n v="199"/>
    <n v="499"/>
    <x v="13"/>
    <x v="3"/>
    <x v="912"/>
  </r>
  <r>
    <x v="1073"/>
    <x v="1059"/>
    <x v="268"/>
    <x v="158"/>
    <s v="Home&amp;Kitchen|Kitchen&amp;HomeAppliances|SmallKitchenAppliances|EggBoilers"/>
    <n v="1099"/>
    <n v="1899"/>
    <x v="21"/>
    <x v="4"/>
    <x v="913"/>
  </r>
  <r>
    <x v="1074"/>
    <x v="1060"/>
    <x v="301"/>
    <x v="138"/>
    <s v="Home&amp;Kitchen|Kitchen&amp;HomeAppliances|SmallKitchenAppliances|Kettles&amp;HotWaterDispensers|ElectricKettles"/>
    <n v="664"/>
    <n v="1490"/>
    <x v="10"/>
    <x v="1"/>
    <x v="914"/>
  </r>
  <r>
    <x v="1075"/>
    <x v="1061"/>
    <x v="302"/>
    <x v="159"/>
    <s v="Home&amp;Kitchen|Kitchen&amp;HomeAppliances|SmallKitchenAppliances|SandwichMakers"/>
    <n v="260"/>
    <n v="350"/>
    <x v="55"/>
    <x v="2"/>
    <x v="915"/>
  </r>
  <r>
    <x v="1076"/>
    <x v="1062"/>
    <x v="291"/>
    <x v="151"/>
    <s v="Home&amp;Kitchen|Heating,Cooling&amp;AirQuality|WaterHeaters&amp;Geysers|StorageWaterHeaters"/>
    <n v="6499"/>
    <n v="8500"/>
    <x v="66"/>
    <x v="5"/>
    <x v="916"/>
  </r>
  <r>
    <x v="1077"/>
    <x v="1063"/>
    <x v="303"/>
    <x v="180"/>
    <s v="Home&amp;Kitchen|Kitchen&amp;HomeAppliances|SewingMachines&amp;Accessories|Sewing&amp;EmbroideryMachines"/>
    <n v="1484"/>
    <n v="2499"/>
    <x v="19"/>
    <x v="7"/>
    <x v="917"/>
  </r>
  <r>
    <x v="1078"/>
    <x v="1064"/>
    <x v="235"/>
    <x v="155"/>
    <s v="Home&amp;Kitchen|Kitchen&amp;HomeAppliances|Vacuum,Cleaning&amp;Ironing|Irons,Steamers&amp;Accessories|Irons|SteamIrons"/>
    <n v="999"/>
    <n v="1560"/>
    <x v="63"/>
    <x v="9"/>
    <x v="918"/>
  </r>
  <r>
    <x v="1079"/>
    <x v="1065"/>
    <x v="258"/>
    <x v="156"/>
    <s v="Home&amp;Kitchen|Kitchen&amp;HomeAppliances|SmallKitchenAppliances|JuicerMixerGrinders"/>
    <n v="3299"/>
    <n v="6500"/>
    <x v="75"/>
    <x v="7"/>
    <x v="919"/>
  </r>
  <r>
    <x v="1080"/>
    <x v="1066"/>
    <x v="304"/>
    <x v="145"/>
    <s v="Home&amp;Kitchen|Kitchen&amp;HomeAppliances|SmallKitchenAppliances|HandBlenders"/>
    <n v="259"/>
    <n v="999"/>
    <x v="80"/>
    <x v="1"/>
    <x v="920"/>
  </r>
  <r>
    <x v="1081"/>
    <x v="1067"/>
    <x v="245"/>
    <x v="147"/>
    <s v="Home&amp;Kitchen|Kitchen&amp;HomeAppliances|SmallKitchenAppliances|MixerGrinders"/>
    <n v="3249"/>
    <n v="7795"/>
    <x v="30"/>
    <x v="0"/>
    <x v="921"/>
  </r>
  <r>
    <x v="1082"/>
    <x v="1068"/>
    <x v="251"/>
    <x v="155"/>
    <s v="Home&amp;Kitchen|Kitchen&amp;HomeAppliances|Vacuum,Cleaning&amp;Ironing|Irons,Steamers&amp;Accessories|Irons|SteamIrons"/>
    <n v="4280"/>
    <n v="5995"/>
    <x v="56"/>
    <x v="11"/>
    <x v="922"/>
  </r>
  <r>
    <x v="1083"/>
    <x v="1069"/>
    <x v="305"/>
    <x v="181"/>
    <s v="Home&amp;Kitchen|HomeStorage&amp;Organization|LaundryOrganization|IroningAccessories|SprayBottles"/>
    <n v="189"/>
    <n v="299"/>
    <x v="42"/>
    <x v="0"/>
    <x v="923"/>
  </r>
  <r>
    <x v="1084"/>
    <x v="1070"/>
    <x v="259"/>
    <x v="163"/>
    <s v="Home&amp;Kitchen|Heating,Cooling&amp;AirQuality|Fans|CeilingFans"/>
    <n v="1449"/>
    <n v="2349"/>
    <x v="16"/>
    <x v="2"/>
    <x v="924"/>
  </r>
  <r>
    <x v="1085"/>
    <x v="1071"/>
    <x v="269"/>
    <x v="154"/>
    <s v="Home&amp;Kitchen|HomeStorage&amp;Organization|LaundryOrganization|LaundryBaskets"/>
    <n v="199"/>
    <n v="499"/>
    <x v="13"/>
    <x v="1"/>
    <x v="925"/>
  </r>
  <r>
    <x v="1086"/>
    <x v="1072"/>
    <x v="306"/>
    <x v="182"/>
    <s v="Home&amp;Kitchen|Kitchen&amp;HomeAppliances|SmallKitchenAppliances|HandMixers"/>
    <n v="474"/>
    <n v="1299"/>
    <x v="0"/>
    <x v="3"/>
    <x v="926"/>
  </r>
  <r>
    <x v="1087"/>
    <x v="1073"/>
    <x v="307"/>
    <x v="145"/>
    <s v="Home&amp;Kitchen|Kitchen&amp;HomeAppliances|SmallKitchenAppliances|HandBlenders"/>
    <n v="279"/>
    <n v="499"/>
    <x v="15"/>
    <x v="20"/>
    <x v="927"/>
  </r>
  <r>
    <x v="1088"/>
    <x v="1074"/>
    <x v="244"/>
    <x v="163"/>
    <s v="Home&amp;Kitchen|Heating,Cooling&amp;AirQuality|Fans|CeilingFans"/>
    <n v="1999"/>
    <n v="4775"/>
    <x v="30"/>
    <x v="0"/>
    <x v="928"/>
  </r>
  <r>
    <x v="1089"/>
    <x v="1075"/>
    <x v="308"/>
    <x v="141"/>
    <s v="Home&amp;Kitchen|Kitchen&amp;HomeAppliances|Vacuum,Cleaning&amp;Ironing|Irons,Steamers&amp;Accessories|LintShavers"/>
    <n v="799"/>
    <n v="1230"/>
    <x v="31"/>
    <x v="3"/>
    <x v="929"/>
  </r>
  <r>
    <x v="1090"/>
    <x v="1076"/>
    <x v="309"/>
    <x v="160"/>
    <s v="Home&amp;Kitchen|Kitchen&amp;HomeAppliances|SmallKitchenAppliances|MiniFoodProcessors&amp;Choppers"/>
    <n v="949"/>
    <n v="1999"/>
    <x v="3"/>
    <x v="1"/>
    <x v="930"/>
  </r>
  <r>
    <x v="1091"/>
    <x v="1077"/>
    <x v="253"/>
    <x v="183"/>
    <s v="Home&amp;Kitchen|Kitchen&amp;HomeAppliances|SmallKitchenAppliances|Mills&amp;Grinders|WetGrinders"/>
    <n v="3657.66"/>
    <n v="5156"/>
    <x v="56"/>
    <x v="2"/>
    <x v="931"/>
  </r>
  <r>
    <x v="1092"/>
    <x v="1078"/>
    <x v="76"/>
    <x v="184"/>
    <s v="Home&amp;Kitchen|Kitchen&amp;HomeAppliances|SmallKitchenAppliances|OvenToasterGrills"/>
    <n v="1699"/>
    <n v="1999"/>
    <x v="59"/>
    <x v="3"/>
    <x v="932"/>
  </r>
  <r>
    <x v="1093"/>
    <x v="1079"/>
    <x v="251"/>
    <x v="155"/>
    <s v="Home&amp;Kitchen|Kitchen&amp;HomeAppliances|Vacuum,Cleaning&amp;Ironing|Irons,Steamers&amp;Accessories|Irons|SteamIrons"/>
    <n v="1849"/>
    <n v="2095"/>
    <x v="83"/>
    <x v="4"/>
    <x v="933"/>
  </r>
  <r>
    <x v="1094"/>
    <x v="1080"/>
    <x v="244"/>
    <x v="140"/>
    <s v="Home&amp;Kitchen|Heating,Cooling&amp;AirQuality|RoomHeaters|FanHeaters"/>
    <n v="12499"/>
    <n v="19825"/>
    <x v="42"/>
    <x v="3"/>
    <x v="934"/>
  </r>
  <r>
    <x v="1095"/>
    <x v="1081"/>
    <x v="240"/>
    <x v="146"/>
    <s v="Home&amp;Kitchen|Kitchen&amp;HomeAppliances|Vacuum,Cleaning&amp;Ironing|Irons,Steamers&amp;Accessories|Irons|DryIrons"/>
    <n v="1099"/>
    <n v="1920"/>
    <x v="1"/>
    <x v="0"/>
    <x v="935"/>
  </r>
  <r>
    <x v="1096"/>
    <x v="1082"/>
    <x v="310"/>
    <x v="178"/>
    <s v="Home&amp;Kitchen|Kitchen&amp;HomeAppliances|WaterPurifiers&amp;Accessories|WaterFilters&amp;Purifiers"/>
    <n v="8199"/>
    <n v="16000"/>
    <x v="75"/>
    <x v="2"/>
    <x v="936"/>
  </r>
  <r>
    <x v="1097"/>
    <x v="1083"/>
    <x v="311"/>
    <x v="156"/>
    <s v="Home&amp;Kitchen|Kitchen&amp;HomeAppliances|SmallKitchenAppliances|JuicerMixerGrinders"/>
    <n v="499"/>
    <n v="2199"/>
    <x v="36"/>
    <x v="7"/>
    <x v="937"/>
  </r>
  <r>
    <x v="1098"/>
    <x v="1084"/>
    <x v="246"/>
    <x v="157"/>
    <s v="Home&amp;Kitchen|Kitchen&amp;HomeAppliances|Vacuum,Cleaning&amp;Ironing|Vacuums&amp;FloorCare|Vacuums|HandheldVacuums"/>
    <n v="6999"/>
    <n v="14999"/>
    <x v="3"/>
    <x v="3"/>
    <x v="938"/>
  </r>
  <r>
    <x v="1099"/>
    <x v="1085"/>
    <x v="312"/>
    <x v="162"/>
    <s v="Home&amp;Kitchen|Kitchen&amp;HomeAppliances|SmallKitchenAppliances|VacuumSealers"/>
    <n v="1595"/>
    <n v="1799"/>
    <x v="68"/>
    <x v="1"/>
    <x v="939"/>
  </r>
  <r>
    <x v="1100"/>
    <x v="1086"/>
    <x v="274"/>
    <x v="146"/>
    <s v="Home&amp;Kitchen|Kitchen&amp;HomeAppliances|Vacuum,Cleaning&amp;Ironing|Irons,Steamers&amp;Accessories|Irons|DryIrons"/>
    <n v="1049"/>
    <n v="1950"/>
    <x v="18"/>
    <x v="11"/>
    <x v="940"/>
  </r>
  <r>
    <x v="1101"/>
    <x v="1087"/>
    <x v="249"/>
    <x v="150"/>
    <s v="Home&amp;Kitchen|Kitchen&amp;HomeAppliances|SmallKitchenAppliances|Kettles&amp;HotWaterDispensers|Kettle&amp;ToasterSets"/>
    <n v="1182"/>
    <n v="2995"/>
    <x v="4"/>
    <x v="0"/>
    <x v="941"/>
  </r>
  <r>
    <x v="1102"/>
    <x v="1088"/>
    <x v="313"/>
    <x v="141"/>
    <s v="Home&amp;Kitchen|Kitchen&amp;HomeAppliances|Vacuum,Cleaning&amp;Ironing|Irons,Steamers&amp;Accessories|LintShavers"/>
    <n v="499"/>
    <n v="999"/>
    <x v="8"/>
    <x v="13"/>
    <x v="942"/>
  </r>
  <r>
    <x v="1103"/>
    <x v="1089"/>
    <x v="251"/>
    <x v="177"/>
    <s v="Home&amp;Kitchen|Heating,Cooling&amp;AirQuality|AirPurifiers|HEPAAirPurifiers"/>
    <n v="8799"/>
    <n v="11995"/>
    <x v="35"/>
    <x v="3"/>
    <x v="943"/>
  </r>
  <r>
    <x v="1104"/>
    <x v="1090"/>
    <x v="314"/>
    <x v="139"/>
    <s v="Home&amp;Kitchen|Heating,Cooling&amp;AirQuality|RoomHeaters|ElectricHeaters"/>
    <n v="1529"/>
    <n v="2999"/>
    <x v="75"/>
    <x v="8"/>
    <x v="944"/>
  </r>
  <r>
    <x v="1105"/>
    <x v="1091"/>
    <x v="235"/>
    <x v="146"/>
    <s v="Home&amp;Kitchen|Kitchen&amp;HomeAppliances|Vacuum,Cleaning&amp;Ironing|Irons,Steamers&amp;Accessories|Irons|DryIrons"/>
    <n v="1199"/>
    <n v="1690"/>
    <x v="56"/>
    <x v="0"/>
    <x v="945"/>
  </r>
  <r>
    <x v="1106"/>
    <x v="1092"/>
    <x v="274"/>
    <x v="158"/>
    <s v="Home&amp;Kitchen|Kitchen&amp;HomeAppliances|SmallKitchenAppliances|EggBoilers"/>
    <n v="1052"/>
    <n v="1790"/>
    <x v="19"/>
    <x v="4"/>
    <x v="946"/>
  </r>
  <r>
    <x v="1107"/>
    <x v="1093"/>
    <x v="251"/>
    <x v="185"/>
    <s v="Home&amp;Kitchen|Kitchen&amp;HomeAppliances|SmallKitchenAppliances|Juicers"/>
    <n v="6499"/>
    <n v="8995"/>
    <x v="28"/>
    <x v="4"/>
    <x v="947"/>
  </r>
  <r>
    <x v="1108"/>
    <x v="1094"/>
    <x v="293"/>
    <x v="161"/>
    <s v="Home&amp;Kitchen|Kitchen&amp;HomeAppliances|SmallKitchenAppliances|DigitalKitchenScales|DigitalScales"/>
    <n v="239"/>
    <n v="239"/>
    <x v="26"/>
    <x v="4"/>
    <x v="222"/>
  </r>
  <r>
    <x v="1109"/>
    <x v="1095"/>
    <x v="315"/>
    <x v="145"/>
    <s v="Home&amp;Kitchen|Kitchen&amp;HomeAppliances|SmallKitchenAppliances|HandBlenders"/>
    <n v="699"/>
    <n v="1599"/>
    <x v="37"/>
    <x v="16"/>
    <x v="948"/>
  </r>
  <r>
    <x v="1110"/>
    <x v="1096"/>
    <x v="316"/>
    <x v="186"/>
    <s v="Home&amp;Kitchen|Kitchen&amp;HomeAppliances|SmallKitchenAppliances"/>
    <n v="2599"/>
    <n v="4290"/>
    <x v="17"/>
    <x v="5"/>
    <x v="949"/>
  </r>
  <r>
    <x v="1111"/>
    <x v="1097"/>
    <x v="317"/>
    <x v="157"/>
    <s v="Home&amp;Kitchen|Kitchen&amp;HomeAppliances|Vacuum,Cleaning&amp;Ironing|Vacuums&amp;FloorCare|Vacuums|HandheldVacuums"/>
    <n v="1547"/>
    <n v="2890"/>
    <x v="18"/>
    <x v="2"/>
    <x v="950"/>
  </r>
  <r>
    <x v="1112"/>
    <x v="1098"/>
    <x v="318"/>
    <x v="145"/>
    <s v="Home&amp;Kitchen|Kitchen&amp;HomeAppliances|SmallKitchenAppliances|HandBlenders"/>
    <n v="499"/>
    <n v="1299"/>
    <x v="33"/>
    <x v="16"/>
    <x v="951"/>
  </r>
  <r>
    <x v="1113"/>
    <x v="1099"/>
    <x v="235"/>
    <x v="152"/>
    <s v="Home&amp;Kitchen|Heating,Cooling&amp;AirQuality|WaterHeaters&amp;Geysers|ImmersionRods"/>
    <n v="510"/>
    <n v="640"/>
    <x v="52"/>
    <x v="3"/>
    <x v="952"/>
  </r>
  <r>
    <x v="1114"/>
    <x v="1100"/>
    <x v="290"/>
    <x v="148"/>
    <s v="Home&amp;Kitchen|Heating,Cooling&amp;AirQuality|WaterHeaters&amp;Geysers|InstantWaterHeaters"/>
    <n v="1899"/>
    <n v="3790"/>
    <x v="8"/>
    <x v="11"/>
    <x v="953"/>
  </r>
  <r>
    <x v="1115"/>
    <x v="1101"/>
    <x v="244"/>
    <x v="148"/>
    <s v="Home&amp;Kitchen|Heating,Cooling&amp;AirQuality|WaterHeaters&amp;Geysers|InstantWaterHeaters"/>
    <n v="2599"/>
    <n v="4560"/>
    <x v="1"/>
    <x v="5"/>
    <x v="954"/>
  </r>
  <r>
    <x v="1116"/>
    <x v="1102"/>
    <x v="247"/>
    <x v="158"/>
    <s v="Home&amp;Kitchen|Kitchen&amp;HomeAppliances|SmallKitchenAppliances|EggBoilers"/>
    <n v="1199"/>
    <n v="3500"/>
    <x v="46"/>
    <x v="4"/>
    <x v="955"/>
  </r>
  <r>
    <x v="1117"/>
    <x v="1103"/>
    <x v="319"/>
    <x v="148"/>
    <s v="Home&amp;Kitchen|Heating,Cooling&amp;AirQuality|WaterHeaters&amp;Geysers|InstantWaterHeaters"/>
    <n v="999"/>
    <n v="2600"/>
    <x v="33"/>
    <x v="10"/>
    <x v="956"/>
  </r>
  <r>
    <x v="1118"/>
    <x v="1104"/>
    <x v="8"/>
    <x v="144"/>
    <s v="Home&amp;Kitchen|Kitchen&amp;HomeAppliances|SmallKitchenAppliances|InductionCooktop"/>
    <n v="1999"/>
    <n v="3300"/>
    <x v="17"/>
    <x v="0"/>
    <x v="957"/>
  </r>
  <r>
    <x v="1119"/>
    <x v="1105"/>
    <x v="320"/>
    <x v="145"/>
    <s v="Home&amp;Kitchen|Kitchen&amp;HomeAppliances|SmallKitchenAppliances|HandBlenders"/>
    <n v="210"/>
    <n v="699"/>
    <x v="20"/>
    <x v="7"/>
    <x v="689"/>
  </r>
  <r>
    <x v="1120"/>
    <x v="1106"/>
    <x v="251"/>
    <x v="177"/>
    <s v="Home&amp;Kitchen|Heating,Cooling&amp;AirQuality|AirPurifiers|HEPAAirPurifiers"/>
    <n v="14499"/>
    <n v="23559"/>
    <x v="16"/>
    <x v="4"/>
    <x v="958"/>
  </r>
  <r>
    <x v="1121"/>
    <x v="1107"/>
    <x v="321"/>
    <x v="154"/>
    <s v="Home&amp;Kitchen|HomeStorage&amp;Organization|LaundryOrganization|LaundryBaskets"/>
    <n v="950"/>
    <n v="1599"/>
    <x v="19"/>
    <x v="4"/>
    <x v="959"/>
  </r>
  <r>
    <x v="1122"/>
    <x v="1108"/>
    <x v="251"/>
    <x v="153"/>
    <s v="Home&amp;Kitchen|Kitchen&amp;HomeAppliances|SmallKitchenAppliances|DeepFatFryers|AirFryers"/>
    <n v="7199"/>
    <n v="9995"/>
    <x v="28"/>
    <x v="5"/>
    <x v="960"/>
  </r>
  <r>
    <x v="1123"/>
    <x v="1109"/>
    <x v="244"/>
    <x v="139"/>
    <s v="Home&amp;Kitchen|Heating,Cooling&amp;AirQuality|RoomHeaters|ElectricHeaters"/>
    <n v="2439"/>
    <n v="2545"/>
    <x v="54"/>
    <x v="3"/>
    <x v="224"/>
  </r>
  <r>
    <x v="1124"/>
    <x v="1110"/>
    <x v="251"/>
    <x v="155"/>
    <s v="Home&amp;Kitchen|Kitchen&amp;HomeAppliances|Vacuum,Cleaning&amp;Ironing|Irons,Steamers&amp;Accessories|Irons|SteamIrons"/>
    <n v="7799"/>
    <n v="8995"/>
    <x v="14"/>
    <x v="1"/>
    <x v="900"/>
  </r>
  <r>
    <x v="1125"/>
    <x v="1111"/>
    <x v="296"/>
    <x v="160"/>
    <s v="Home&amp;Kitchen|Kitchen&amp;HomeAppliances|SmallKitchenAppliances|MiniFoodProcessors&amp;Choppers"/>
    <n v="1599"/>
    <n v="1999"/>
    <x v="52"/>
    <x v="5"/>
    <x v="845"/>
  </r>
  <r>
    <x v="1126"/>
    <x v="1112"/>
    <x v="258"/>
    <x v="147"/>
    <s v="Home&amp;Kitchen|Kitchen&amp;HomeAppliances|SmallKitchenAppliances|MixerGrinders"/>
    <n v="2899"/>
    <n v="5500"/>
    <x v="41"/>
    <x v="11"/>
    <x v="961"/>
  </r>
  <r>
    <x v="1127"/>
    <x v="1113"/>
    <x v="235"/>
    <x v="180"/>
    <s v="Home&amp;Kitchen|Kitchen&amp;HomeAppliances|SewingMachines&amp;Accessories|Sewing&amp;EmbroideryMachines"/>
    <n v="9799"/>
    <n v="12150"/>
    <x v="70"/>
    <x v="4"/>
    <x v="962"/>
  </r>
  <r>
    <x v="1128"/>
    <x v="1114"/>
    <x v="322"/>
    <x v="155"/>
    <s v="Home&amp;Kitchen|Kitchen&amp;HomeAppliances|Vacuum,Cleaning&amp;Ironing|Irons,Steamers&amp;Accessories|Irons|SteamIrons"/>
    <n v="3299"/>
    <n v="4995"/>
    <x v="67"/>
    <x v="11"/>
    <x v="963"/>
  </r>
  <r>
    <x v="1129"/>
    <x v="1115"/>
    <x v="323"/>
    <x v="145"/>
    <s v="Home&amp;Kitchen|Kitchen&amp;HomeAppliances|SmallKitchenAppliances|HandBlenders"/>
    <n v="669"/>
    <n v="1499"/>
    <x v="10"/>
    <x v="21"/>
    <x v="964"/>
  </r>
  <r>
    <x v="1130"/>
    <x v="1116"/>
    <x v="324"/>
    <x v="156"/>
    <s v="Home&amp;Kitchen|Kitchen&amp;HomeAppliances|SmallKitchenAppliances|JuicerMixerGrinders"/>
    <n v="5890"/>
    <n v="7506"/>
    <x v="47"/>
    <x v="6"/>
    <x v="523"/>
  </r>
  <r>
    <x v="1131"/>
    <x v="1117"/>
    <x v="325"/>
    <x v="178"/>
    <s v="Home&amp;Kitchen|Kitchen&amp;HomeAppliances|WaterPurifiers&amp;Accessories|WaterFilters&amp;Purifiers"/>
    <n v="9199"/>
    <n v="18000"/>
    <x v="75"/>
    <x v="1"/>
    <x v="965"/>
  </r>
  <r>
    <x v="1132"/>
    <x v="1118"/>
    <x v="250"/>
    <x v="154"/>
    <s v="Home&amp;Kitchen|HomeStorage&amp;Organization|LaundryOrganization|LaundryBaskets"/>
    <n v="351"/>
    <n v="1099"/>
    <x v="45"/>
    <x v="7"/>
    <x v="966"/>
  </r>
  <r>
    <x v="1133"/>
    <x v="1119"/>
    <x v="326"/>
    <x v="187"/>
    <s v="Health&amp;PersonalCare|HomeMedicalSupplies&amp;Equipment|HealthMonitors|WeighingScales|DigitalBathroomScales"/>
    <n v="899"/>
    <n v="1900"/>
    <x v="3"/>
    <x v="1"/>
    <x v="967"/>
  </r>
  <r>
    <x v="1134"/>
    <x v="1120"/>
    <x v="327"/>
    <x v="150"/>
    <s v="Home&amp;Kitchen|Kitchen&amp;HomeAppliances|SmallKitchenAppliances|Kettles&amp;HotWaterDispensers|Kettle&amp;ToasterSets"/>
    <n v="1349"/>
    <n v="1850"/>
    <x v="35"/>
    <x v="5"/>
    <x v="968"/>
  </r>
  <r>
    <x v="1135"/>
    <x v="1121"/>
    <x v="76"/>
    <x v="176"/>
    <s v="Home&amp;Kitchen|Kitchen&amp;HomeAppliances|Vacuum,Cleaning&amp;Ironing|Vacuums&amp;FloorCare|Vacuums|Wet-DryVacuums"/>
    <n v="6236"/>
    <n v="9999"/>
    <x v="16"/>
    <x v="3"/>
    <x v="969"/>
  </r>
  <r>
    <x v="1136"/>
    <x v="1122"/>
    <x v="249"/>
    <x v="145"/>
    <s v="Home&amp;Kitchen|Kitchen&amp;HomeAppliances|SmallKitchenAppliances|HandBlenders"/>
    <n v="2742"/>
    <n v="3995"/>
    <x v="39"/>
    <x v="5"/>
    <x v="970"/>
  </r>
  <r>
    <x v="1137"/>
    <x v="1123"/>
    <x v="328"/>
    <x v="180"/>
    <s v="Home&amp;Kitchen|Kitchen&amp;HomeAppliances|SewingMachines&amp;Accessories|Sewing&amp;EmbroideryMachines"/>
    <n v="721"/>
    <n v="1499"/>
    <x v="50"/>
    <x v="19"/>
    <x v="971"/>
  </r>
  <r>
    <x v="1138"/>
    <x v="1124"/>
    <x v="251"/>
    <x v="155"/>
    <s v="Home&amp;Kitchen|Kitchen&amp;HomeAppliances|Vacuum,Cleaning&amp;Ironing|Irons,Steamers&amp;Accessories|Irons|SteamIrons"/>
    <n v="2903"/>
    <n v="3295"/>
    <x v="83"/>
    <x v="4"/>
    <x v="972"/>
  </r>
  <r>
    <x v="1139"/>
    <x v="1125"/>
    <x v="249"/>
    <x v="160"/>
    <s v="Home&amp;Kitchen|Kitchen&amp;HomeAppliances|SmallKitchenAppliances|MiniFoodProcessors&amp;Choppers"/>
    <n v="1656"/>
    <n v="2695"/>
    <x v="17"/>
    <x v="5"/>
    <x v="973"/>
  </r>
  <r>
    <x v="1140"/>
    <x v="1126"/>
    <x v="260"/>
    <x v="158"/>
    <s v="Home&amp;Kitchen|Kitchen&amp;HomeAppliances|SmallKitchenAppliances|EggBoilers"/>
    <n v="1399"/>
    <n v="2290"/>
    <x v="17"/>
    <x v="5"/>
    <x v="974"/>
  </r>
  <r>
    <x v="1141"/>
    <x v="1127"/>
    <x v="274"/>
    <x v="159"/>
    <s v="Home&amp;Kitchen|Kitchen&amp;HomeAppliances|SmallKitchenAppliances|SandwichMakers"/>
    <n v="2079"/>
    <n v="3099"/>
    <x v="9"/>
    <x v="3"/>
    <x v="201"/>
  </r>
  <r>
    <x v="1142"/>
    <x v="1128"/>
    <x v="309"/>
    <x v="152"/>
    <s v="Home&amp;Kitchen|Heating,Cooling&amp;AirQuality|WaterHeaters&amp;Geysers|ImmersionRods"/>
    <n v="999"/>
    <n v="1075"/>
    <x v="20"/>
    <x v="3"/>
    <x v="453"/>
  </r>
  <r>
    <x v="1143"/>
    <x v="1129"/>
    <x v="265"/>
    <x v="157"/>
    <s v="Home&amp;Kitchen|Kitchen&amp;HomeAppliances|Vacuum,Cleaning&amp;Ironing|Vacuums&amp;FloorCare|Vacuums|HandheldVacuums"/>
    <n v="3179"/>
    <n v="6999"/>
    <x v="10"/>
    <x v="1"/>
    <x v="975"/>
  </r>
  <r>
    <x v="1144"/>
    <x v="1130"/>
    <x v="329"/>
    <x v="148"/>
    <s v="Home&amp;Kitchen|Heating,Cooling&amp;AirQuality|WaterHeaters&amp;Geysers|InstantWaterHeaters"/>
    <n v="1049"/>
    <n v="2499"/>
    <x v="30"/>
    <x v="9"/>
    <x v="976"/>
  </r>
  <r>
    <x v="1145"/>
    <x v="1131"/>
    <x v="284"/>
    <x v="148"/>
    <s v="Home&amp;Kitchen|Heating,Cooling&amp;AirQuality|WaterHeaters&amp;Geysers|InstantWaterHeaters"/>
    <n v="3599"/>
    <n v="7290"/>
    <x v="24"/>
    <x v="2"/>
    <x v="977"/>
  </r>
  <r>
    <x v="1146"/>
    <x v="1132"/>
    <x v="245"/>
    <x v="188"/>
    <s v="Home&amp;Kitchen|Kitchen&amp;HomeAppliances|Coffee,Tea&amp;Espresso|EspressoMachines"/>
    <n v="4799"/>
    <n v="5795"/>
    <x v="49"/>
    <x v="2"/>
    <x v="978"/>
  </r>
  <r>
    <x v="1147"/>
    <x v="1133"/>
    <x v="247"/>
    <x v="147"/>
    <s v="Home&amp;Kitchen|Kitchen&amp;HomeAppliances|SmallKitchenAppliances|MixerGrinders"/>
    <n v="1699"/>
    <n v="3398"/>
    <x v="8"/>
    <x v="11"/>
    <x v="979"/>
  </r>
  <r>
    <x v="1148"/>
    <x v="1134"/>
    <x v="301"/>
    <x v="150"/>
    <s v="Home&amp;Kitchen|Kitchen&amp;HomeAppliances|SmallKitchenAppliances|Kettles&amp;HotWaterDispensers|Kettle&amp;ToasterSets"/>
    <n v="664"/>
    <n v="1490"/>
    <x v="10"/>
    <x v="3"/>
    <x v="980"/>
  </r>
  <r>
    <x v="1149"/>
    <x v="1135"/>
    <x v="240"/>
    <x v="189"/>
    <s v="Home&amp;Kitchen|Heating,Cooling&amp;AirQuality|Fans|TableFans"/>
    <n v="948"/>
    <n v="1620"/>
    <x v="19"/>
    <x v="3"/>
    <x v="981"/>
  </r>
  <r>
    <x v="1150"/>
    <x v="1136"/>
    <x v="259"/>
    <x v="146"/>
    <s v="Home&amp;Kitchen|Kitchen&amp;HomeAppliances|Vacuum,Cleaning&amp;Ironing|Irons,Steamers&amp;Accessories|Irons|DryIrons"/>
    <n v="850"/>
    <n v="1000"/>
    <x v="59"/>
    <x v="3"/>
    <x v="982"/>
  </r>
  <r>
    <x v="1151"/>
    <x v="1137"/>
    <x v="239"/>
    <x v="173"/>
    <s v="Home&amp;Kitchen|Kitchen&amp;HomeAppliances|WaterPurifiers&amp;Accessories|WaterCartridges"/>
    <n v="600"/>
    <n v="640"/>
    <x v="13"/>
    <x v="11"/>
    <x v="983"/>
  </r>
  <r>
    <x v="1152"/>
    <x v="1138"/>
    <x v="245"/>
    <x v="139"/>
    <s v="Home&amp;Kitchen|Heating,Cooling&amp;AirQuality|RoomHeaters|ElectricHeaters"/>
    <n v="3711"/>
    <n v="4495"/>
    <x v="49"/>
    <x v="4"/>
    <x v="166"/>
  </r>
  <r>
    <x v="1153"/>
    <x v="1139"/>
    <x v="330"/>
    <x v="142"/>
    <s v="Home&amp;Kitchen|Kitchen&amp;HomeAppliances|SmallKitchenAppliances|DigitalKitchenScales"/>
    <n v="799"/>
    <n v="2999"/>
    <x v="25"/>
    <x v="6"/>
    <x v="984"/>
  </r>
  <r>
    <x v="1154"/>
    <x v="1140"/>
    <x v="276"/>
    <x v="172"/>
    <s v="Home&amp;Kitchen|Kitchen&amp;HomeAppliances|WaterPurifiers&amp;Accessories|WaterPurifierAccessories"/>
    <n v="980"/>
    <n v="980"/>
    <x v="26"/>
    <x v="0"/>
    <x v="374"/>
  </r>
  <r>
    <x v="1155"/>
    <x v="1141"/>
    <x v="331"/>
    <x v="154"/>
    <s v="Home&amp;Kitchen|HomeStorage&amp;Organization|LaundryOrganization|LaundryBaskets"/>
    <n v="351"/>
    <n v="899"/>
    <x v="4"/>
    <x v="2"/>
    <x v="985"/>
  </r>
  <r>
    <x v="1156"/>
    <x v="1142"/>
    <x v="270"/>
    <x v="190"/>
    <s v="Home&amp;Kitchen|Kitchen&amp;HomeAppliances|Coffee,Tea&amp;Espresso|MilkFrothers"/>
    <n v="229"/>
    <n v="499"/>
    <x v="34"/>
    <x v="12"/>
    <x v="189"/>
  </r>
  <r>
    <x v="1157"/>
    <x v="1143"/>
    <x v="251"/>
    <x v="155"/>
    <s v="Home&amp;Kitchen|Kitchen&amp;HomeAppliances|Vacuum,Cleaning&amp;Ironing|Irons,Steamers&amp;Accessories|Irons|SteamIrons"/>
    <n v="3349"/>
    <n v="3995"/>
    <x v="81"/>
    <x v="4"/>
    <x v="986"/>
  </r>
  <r>
    <x v="1158"/>
    <x v="1144"/>
    <x v="240"/>
    <x v="151"/>
    <s v="Home&amp;Kitchen|Heating,Cooling&amp;AirQuality|WaterHeaters&amp;Geysers|StorageWaterHeaters"/>
    <n v="5499"/>
    <n v="11500"/>
    <x v="50"/>
    <x v="2"/>
    <x v="987"/>
  </r>
  <r>
    <x v="1159"/>
    <x v="1145"/>
    <x v="332"/>
    <x v="141"/>
    <s v="Home&amp;Kitchen|Kitchen&amp;HomeAppliances|Vacuum,Cleaning&amp;Ironing|Irons,Steamers&amp;Accessories|LintShavers"/>
    <n v="299"/>
    <n v="499"/>
    <x v="54"/>
    <x v="2"/>
    <x v="988"/>
  </r>
  <r>
    <x v="1160"/>
    <x v="1146"/>
    <x v="333"/>
    <x v="191"/>
    <s v="Home&amp;Kitchen|Heating,Cooling&amp;AirQuality|Humidifiers"/>
    <n v="2249"/>
    <n v="3550"/>
    <x v="42"/>
    <x v="1"/>
    <x v="989"/>
  </r>
  <r>
    <x v="1161"/>
    <x v="1147"/>
    <x v="334"/>
    <x v="158"/>
    <s v="Home&amp;Kitchen|Kitchen&amp;HomeAppliances|SmallKitchenAppliances|EggBoilers"/>
    <n v="699"/>
    <n v="1599"/>
    <x v="37"/>
    <x v="16"/>
    <x v="990"/>
  </r>
  <r>
    <x v="1162"/>
    <x v="1148"/>
    <x v="266"/>
    <x v="139"/>
    <s v="Home&amp;Kitchen|Heating,Cooling&amp;AirQuality|RoomHeaters|ElectricHeaters"/>
    <n v="1235"/>
    <n v="1499"/>
    <x v="74"/>
    <x v="3"/>
    <x v="991"/>
  </r>
  <r>
    <x v="1163"/>
    <x v="1149"/>
    <x v="246"/>
    <x v="160"/>
    <s v="Home&amp;Kitchen|Kitchen&amp;HomeAppliances|SmallKitchenAppliances|MiniFoodProcessors&amp;Choppers"/>
    <n v="1349"/>
    <n v="2999"/>
    <x v="10"/>
    <x v="11"/>
    <x v="865"/>
  </r>
  <r>
    <x v="1164"/>
    <x v="1150"/>
    <x v="259"/>
    <x v="151"/>
    <s v="Home&amp;Kitchen|Heating,Cooling&amp;AirQuality|WaterHeaters&amp;Geysers|StorageWaterHeaters"/>
    <n v="6800"/>
    <n v="11500"/>
    <x v="19"/>
    <x v="3"/>
    <x v="992"/>
  </r>
  <r>
    <x v="1165"/>
    <x v="1151"/>
    <x v="265"/>
    <x v="157"/>
    <s v="Home&amp;Kitchen|Kitchen&amp;HomeAppliances|Vacuum,Cleaning&amp;Ironing|Vacuums&amp;FloorCare|Vacuums|HandheldVacuums"/>
    <n v="2099"/>
    <n v="2499"/>
    <x v="81"/>
    <x v="22"/>
    <x v="993"/>
  </r>
  <r>
    <x v="1166"/>
    <x v="1152"/>
    <x v="246"/>
    <x v="159"/>
    <s v="Home&amp;Kitchen|Kitchen&amp;HomeAppliances|SmallKitchenAppliances|SandwichMakers"/>
    <n v="1699"/>
    <n v="1975"/>
    <x v="79"/>
    <x v="3"/>
    <x v="994"/>
  </r>
  <r>
    <x v="1167"/>
    <x v="1153"/>
    <x v="335"/>
    <x v="140"/>
    <s v="Home&amp;Kitchen|Heating,Cooling&amp;AirQuality|RoomHeaters|FanHeaters"/>
    <n v="1069"/>
    <n v="1699"/>
    <x v="42"/>
    <x v="2"/>
    <x v="135"/>
  </r>
  <r>
    <x v="1168"/>
    <x v="1154"/>
    <x v="249"/>
    <x v="140"/>
    <s v="Home&amp;Kitchen|Heating,Cooling&amp;AirQuality|RoomHeaters|FanHeaters"/>
    <n v="1349"/>
    <n v="2495"/>
    <x v="18"/>
    <x v="11"/>
    <x v="995"/>
  </r>
  <r>
    <x v="1169"/>
    <x v="1155"/>
    <x v="244"/>
    <x v="152"/>
    <s v="Home&amp;Kitchen|Heating,Cooling&amp;AirQuality|WaterHeaters&amp;Geysers|ImmersionRods"/>
    <n v="1499"/>
    <n v="3500"/>
    <x v="48"/>
    <x v="3"/>
    <x v="996"/>
  </r>
  <r>
    <x v="1170"/>
    <x v="1156"/>
    <x v="301"/>
    <x v="159"/>
    <s v="Home&amp;Kitchen|Kitchen&amp;HomeAppliances|SmallKitchenAppliances|SandwichMakers"/>
    <n v="2092"/>
    <n v="4600"/>
    <x v="10"/>
    <x v="4"/>
    <x v="997"/>
  </r>
  <r>
    <x v="1171"/>
    <x v="1157"/>
    <x v="249"/>
    <x v="176"/>
    <s v="Home&amp;Kitchen|Kitchen&amp;HomeAppliances|Vacuum,Cleaning&amp;Ironing|Vacuums&amp;FloorCare|Vacuums|Wet-DryVacuums"/>
    <n v="3859"/>
    <n v="10295"/>
    <x v="11"/>
    <x v="2"/>
    <x v="998"/>
  </r>
  <r>
    <x v="1172"/>
    <x v="1158"/>
    <x v="336"/>
    <x v="156"/>
    <s v="Home&amp;Kitchen|Kitchen&amp;HomeAppliances|SmallKitchenAppliances|JuicerMixerGrinders"/>
    <n v="499"/>
    <n v="2199"/>
    <x v="36"/>
    <x v="18"/>
    <x v="999"/>
  </r>
  <r>
    <x v="1173"/>
    <x v="1159"/>
    <x v="259"/>
    <x v="163"/>
    <s v="Home&amp;Kitchen|Heating,Cooling&amp;AirQuality|Fans|CeilingFans"/>
    <n v="1804"/>
    <n v="2380"/>
    <x v="66"/>
    <x v="1"/>
    <x v="1000"/>
  </r>
  <r>
    <x v="1174"/>
    <x v="1160"/>
    <x v="324"/>
    <x v="156"/>
    <s v="Home&amp;Kitchen|Kitchen&amp;HomeAppliances|SmallKitchenAppliances|JuicerMixerGrinders"/>
    <n v="6525"/>
    <n v="8820"/>
    <x v="55"/>
    <x v="6"/>
    <x v="1001"/>
  </r>
  <r>
    <x v="1175"/>
    <x v="1161"/>
    <x v="337"/>
    <x v="178"/>
    <s v="Home&amp;Kitchen|Kitchen&amp;HomeAppliances|WaterPurifiers&amp;Accessories|WaterFilters&amp;Purifiers"/>
    <n v="4999"/>
    <n v="24999"/>
    <x v="27"/>
    <x v="13"/>
    <x v="851"/>
  </r>
  <r>
    <x v="1176"/>
    <x v="1162"/>
    <x v="19"/>
    <x v="171"/>
    <s v="Home&amp;Kitchen|Kitchen&amp;HomeAppliances|Coffee,Tea&amp;Espresso|DripCoffeeMachines"/>
    <n v="1189"/>
    <n v="2400"/>
    <x v="8"/>
    <x v="3"/>
    <x v="1002"/>
  </r>
  <r>
    <x v="1177"/>
    <x v="1163"/>
    <x v="259"/>
    <x v="140"/>
    <s v="Home&amp;Kitchen|Heating,Cooling&amp;AirQuality|RoomHeaters|FanHeaters"/>
    <n v="2590"/>
    <n v="4200"/>
    <x v="16"/>
    <x v="3"/>
    <x v="984"/>
  </r>
  <r>
    <x v="1178"/>
    <x v="1164"/>
    <x v="338"/>
    <x v="140"/>
    <s v="Home&amp;Kitchen|Heating,Cooling&amp;AirQuality|RoomHeaters|FanHeaters"/>
    <n v="899"/>
    <n v="1599"/>
    <x v="15"/>
    <x v="10"/>
    <x v="1003"/>
  </r>
  <r>
    <x v="1179"/>
    <x v="1165"/>
    <x v="339"/>
    <x v="140"/>
    <s v="Home&amp;Kitchen|Heating,Cooling&amp;AirQuality|RoomHeaters|FanHeaters"/>
    <n v="998"/>
    <n v="2999"/>
    <x v="29"/>
    <x v="13"/>
    <x v="1004"/>
  </r>
  <r>
    <x v="1180"/>
    <x v="1166"/>
    <x v="340"/>
    <x v="154"/>
    <s v="Home&amp;Kitchen|HomeStorage&amp;Organization|LaundryOrganization|LaundryBaskets"/>
    <n v="998.06"/>
    <n v="1282"/>
    <x v="47"/>
    <x v="0"/>
    <x v="1005"/>
  </r>
  <r>
    <x v="1181"/>
    <x v="1167"/>
    <x v="290"/>
    <x v="163"/>
    <s v="Home&amp;Kitchen|Heating,Cooling&amp;AirQuality|Fans|CeilingFans"/>
    <n v="1099"/>
    <n v="1990"/>
    <x v="32"/>
    <x v="2"/>
    <x v="959"/>
  </r>
  <r>
    <x v="1182"/>
    <x v="1168"/>
    <x v="341"/>
    <x v="165"/>
    <s v="Home&amp;Kitchen|Kitchen&amp;HomeAppliances|Vacuum,Cleaning&amp;Ironing|PressureWashers,Steam&amp;WindowCleaners"/>
    <n v="5999"/>
    <n v="9999"/>
    <x v="54"/>
    <x v="0"/>
    <x v="1006"/>
  </r>
  <r>
    <x v="1183"/>
    <x v="1169"/>
    <x v="342"/>
    <x v="176"/>
    <s v="Home&amp;Kitchen|Kitchen&amp;HomeAppliances|Vacuum,Cleaning&amp;Ironing|Vacuums&amp;FloorCare|Vacuums|Wet-DryVacuums"/>
    <n v="8886"/>
    <n v="11850"/>
    <x v="23"/>
    <x v="0"/>
    <x v="1007"/>
  </r>
  <r>
    <x v="1184"/>
    <x v="1170"/>
    <x v="343"/>
    <x v="141"/>
    <s v="Home&amp;Kitchen|Kitchen&amp;HomeAppliances|Vacuum,Cleaning&amp;Ironing|Irons,Steamers&amp;Accessories|LintShavers"/>
    <n v="475"/>
    <n v="999"/>
    <x v="50"/>
    <x v="3"/>
    <x v="1008"/>
  </r>
  <r>
    <x v="1185"/>
    <x v="1171"/>
    <x v="344"/>
    <x v="153"/>
    <s v="Home&amp;Kitchen|Kitchen&amp;HomeAppliances|SmallKitchenAppliances|DeepFatFryers|AirFryers"/>
    <n v="4995"/>
    <n v="20049"/>
    <x v="43"/>
    <x v="20"/>
    <x v="1009"/>
  </r>
  <r>
    <x v="1186"/>
    <x v="1172"/>
    <x v="276"/>
    <x v="178"/>
    <s v="Home&amp;Kitchen|Kitchen&amp;HomeAppliances|WaterPurifiers&amp;Accessories|WaterFilters&amp;Purifiers"/>
    <n v="13999"/>
    <n v="24850"/>
    <x v="15"/>
    <x v="5"/>
    <x v="1010"/>
  </r>
  <r>
    <x v="1187"/>
    <x v="1173"/>
    <x v="345"/>
    <x v="178"/>
    <s v="Home&amp;Kitchen|Kitchen&amp;HomeAppliances|WaterPurifiers&amp;Accessories|WaterFilters&amp;Purifiers"/>
    <n v="8499"/>
    <n v="16490"/>
    <x v="61"/>
    <x v="4"/>
    <x v="892"/>
  </r>
  <r>
    <x v="1188"/>
    <x v="1174"/>
    <x v="251"/>
    <x v="146"/>
    <s v="Home&amp;Kitchen|Kitchen&amp;HomeAppliances|Vacuum,Cleaning&amp;Ironing|Irons,Steamers&amp;Accessories|Irons|DryIrons"/>
    <n v="949"/>
    <n v="975"/>
    <x v="76"/>
    <x v="4"/>
    <x v="1011"/>
  </r>
  <r>
    <x v="1189"/>
    <x v="1175"/>
    <x v="269"/>
    <x v="154"/>
    <s v="Home&amp;Kitchen|HomeStorage&amp;Organization|LaundryOrganization|LaundryBaskets"/>
    <n v="395"/>
    <n v="499"/>
    <x v="72"/>
    <x v="1"/>
    <x v="1012"/>
  </r>
  <r>
    <x v="1190"/>
    <x v="1176"/>
    <x v="277"/>
    <x v="192"/>
    <s v="Home&amp;Kitchen|Kitchen&amp;HomeAppliances|SmallKitchenAppliances|SmallApplianceParts&amp;Accessories|StandMixerAccessories"/>
    <n v="635"/>
    <n v="635"/>
    <x v="26"/>
    <x v="4"/>
    <x v="1013"/>
  </r>
  <r>
    <x v="1191"/>
    <x v="1177"/>
    <x v="235"/>
    <x v="146"/>
    <s v="Home&amp;Kitchen|Kitchen&amp;HomeAppliances|Vacuum,Cleaning&amp;Ironing|Irons,Steamers&amp;Accessories|Irons|DryIrons"/>
    <n v="717"/>
    <n v="1390"/>
    <x v="61"/>
    <x v="1"/>
    <x v="1014"/>
  </r>
  <r>
    <x v="1192"/>
    <x v="1178"/>
    <x v="346"/>
    <x v="193"/>
    <s v="Home&amp;Kitchen|Kitchen&amp;HomeAppliances|Vacuum,Cleaning&amp;Ironing|Vacuums&amp;FloorCare|Vacuums|RoboticVacuums"/>
    <n v="27900"/>
    <n v="59900"/>
    <x v="3"/>
    <x v="5"/>
    <x v="1015"/>
  </r>
  <r>
    <x v="1193"/>
    <x v="1179"/>
    <x v="246"/>
    <x v="173"/>
    <s v="Home&amp;Kitchen|Kitchen&amp;HomeAppliances|WaterPurifiers&amp;Accessories|WaterCartridges"/>
    <n v="649"/>
    <n v="670"/>
    <x v="76"/>
    <x v="3"/>
    <x v="1016"/>
  </r>
  <r>
    <x v="1194"/>
    <x v="1180"/>
    <x v="347"/>
    <x v="172"/>
    <s v="Home&amp;Kitchen|Kitchen&amp;HomeAppliances|WaterPurifiers&amp;Accessories|WaterPurifierAccessories"/>
    <n v="193"/>
    <n v="399"/>
    <x v="50"/>
    <x v="9"/>
    <x v="95"/>
  </r>
  <r>
    <x v="1195"/>
    <x v="1181"/>
    <x v="348"/>
    <x v="140"/>
    <s v="Home&amp;Kitchen|Heating,Cooling&amp;AirQuality|RoomHeaters|FanHeaters"/>
    <n v="1299"/>
    <n v="2495"/>
    <x v="61"/>
    <x v="23"/>
    <x v="1017"/>
  </r>
  <r>
    <x v="1196"/>
    <x v="1182"/>
    <x v="235"/>
    <x v="147"/>
    <s v="Home&amp;Kitchen|Kitchen&amp;HomeAppliances|SmallKitchenAppliances|MixerGrinders"/>
    <n v="2449"/>
    <n v="3390"/>
    <x v="28"/>
    <x v="1"/>
    <x v="1018"/>
  </r>
  <r>
    <x v="1197"/>
    <x v="1183"/>
    <x v="329"/>
    <x v="148"/>
    <s v="Home&amp;Kitchen|Heating,Cooling&amp;AirQuality|WaterHeaters&amp;Geysers|InstantWaterHeaters"/>
    <n v="1049"/>
    <n v="2499"/>
    <x v="30"/>
    <x v="7"/>
    <x v="968"/>
  </r>
  <r>
    <x v="1198"/>
    <x v="1184"/>
    <x v="244"/>
    <x v="189"/>
    <s v="Home&amp;Kitchen|Heating,Cooling&amp;AirQuality|Fans|TableFans"/>
    <n v="2399"/>
    <n v="4200"/>
    <x v="1"/>
    <x v="11"/>
    <x v="1019"/>
  </r>
  <r>
    <x v="1199"/>
    <x v="1185"/>
    <x v="249"/>
    <x v="157"/>
    <s v="Home&amp;Kitchen|Kitchen&amp;HomeAppliances|Vacuum,Cleaning&amp;Ironing|Vacuums&amp;FloorCare|Vacuums|HandheldVacuums"/>
    <n v="2286"/>
    <n v="4495"/>
    <x v="75"/>
    <x v="2"/>
    <x v="1020"/>
  </r>
  <r>
    <x v="1200"/>
    <x v="1186"/>
    <x v="311"/>
    <x v="185"/>
    <s v="Home&amp;Kitchen|Kitchen&amp;HomeAppliances|SmallKitchenAppliances|Juicers"/>
    <n v="499"/>
    <n v="2199"/>
    <x v="36"/>
    <x v="19"/>
    <x v="1021"/>
  </r>
  <r>
    <x v="1201"/>
    <x v="1187"/>
    <x v="349"/>
    <x v="162"/>
    <s v="Home&amp;Kitchen|Kitchen&amp;HomeAppliances|SmallKitchenAppliances|VacuumSealers"/>
    <n v="429"/>
    <n v="999"/>
    <x v="48"/>
    <x v="17"/>
    <x v="1022"/>
  </r>
  <r>
    <x v="1202"/>
    <x v="1188"/>
    <x v="340"/>
    <x v="159"/>
    <s v="Home&amp;Kitchen|Kitchen&amp;HomeAppliances|SmallKitchenAppliances|SandwichMakers"/>
    <n v="299"/>
    <n v="595"/>
    <x v="8"/>
    <x v="1"/>
    <x v="46"/>
  </r>
  <r>
    <x v="1203"/>
    <x v="1189"/>
    <x v="350"/>
    <x v="178"/>
    <s v="Home&amp;Kitchen|Kitchen&amp;HomeAppliances|WaterPurifiers&amp;Accessories|WaterFilters&amp;Purifiers"/>
    <n v="5395"/>
    <n v="19990"/>
    <x v="25"/>
    <x v="5"/>
    <x v="1023"/>
  </r>
  <r>
    <x v="1204"/>
    <x v="1190"/>
    <x v="245"/>
    <x v="146"/>
    <s v="Home&amp;Kitchen|Kitchen&amp;HomeAppliances|Vacuum,Cleaning&amp;Ironing|Irons,Steamers&amp;Accessories|Irons|DryIrons"/>
    <n v="559"/>
    <n v="1010"/>
    <x v="32"/>
    <x v="3"/>
    <x v="1024"/>
  </r>
  <r>
    <x v="1205"/>
    <x v="1191"/>
    <x v="274"/>
    <x v="146"/>
    <s v="Home&amp;Kitchen|Kitchen&amp;HomeAppliances|Vacuum,Cleaning&amp;Ironing|Irons,Steamers&amp;Accessories|Irons|DryIrons"/>
    <n v="660"/>
    <n v="1100"/>
    <x v="54"/>
    <x v="9"/>
    <x v="1025"/>
  </r>
  <r>
    <x v="1206"/>
    <x v="1192"/>
    <x v="318"/>
    <x v="158"/>
    <s v="Home&amp;Kitchen|Kitchen&amp;HomeAppliances|SmallKitchenAppliances|EggBoilers"/>
    <n v="419"/>
    <n v="999"/>
    <x v="30"/>
    <x v="5"/>
    <x v="239"/>
  </r>
  <r>
    <x v="1207"/>
    <x v="1193"/>
    <x v="351"/>
    <x v="151"/>
    <s v="Home&amp;Kitchen|Heating,Cooling&amp;AirQuality|WaterHeaters&amp;Geysers|StorageWaterHeaters"/>
    <n v="7349"/>
    <n v="10900"/>
    <x v="9"/>
    <x v="0"/>
    <x v="1026"/>
  </r>
  <r>
    <x v="1208"/>
    <x v="1194"/>
    <x v="244"/>
    <x v="163"/>
    <s v="Home&amp;Kitchen|Heating,Cooling&amp;AirQuality|Fans|CeilingFans"/>
    <n v="2899"/>
    <n v="4005"/>
    <x v="28"/>
    <x v="4"/>
    <x v="1027"/>
  </r>
  <r>
    <x v="1209"/>
    <x v="1195"/>
    <x v="249"/>
    <x v="157"/>
    <s v="Home&amp;Kitchen|Kitchen&amp;HomeAppliances|Vacuum,Cleaning&amp;Ironing|Vacuums&amp;FloorCare|Vacuums|HandheldVacuums"/>
    <n v="1799"/>
    <n v="3295"/>
    <x v="32"/>
    <x v="11"/>
    <x v="1028"/>
  </r>
  <r>
    <x v="1210"/>
    <x v="1196"/>
    <x v="301"/>
    <x v="159"/>
    <s v="Home&amp;Kitchen|Kitchen&amp;HomeAppliances|SmallKitchenAppliances|SandwichMakers"/>
    <n v="1474"/>
    <n v="4650"/>
    <x v="45"/>
    <x v="3"/>
    <x v="79"/>
  </r>
  <r>
    <x v="1211"/>
    <x v="1197"/>
    <x v="352"/>
    <x v="178"/>
    <s v="Home&amp;Kitchen|Kitchen&amp;HomeAppliances|WaterPurifiers&amp;Accessories|WaterFilters&amp;Purifiers"/>
    <n v="15999"/>
    <n v="24500"/>
    <x v="31"/>
    <x v="1"/>
    <x v="1029"/>
  </r>
  <r>
    <x v="1212"/>
    <x v="1198"/>
    <x v="244"/>
    <x v="148"/>
    <s v="Home&amp;Kitchen|Heating,Cooling&amp;AirQuality|WaterHeaters&amp;Geysers|InstantWaterHeaters"/>
    <n v="3645"/>
    <n v="6070"/>
    <x v="54"/>
    <x v="0"/>
    <x v="1030"/>
  </r>
  <r>
    <x v="1213"/>
    <x v="1199"/>
    <x v="353"/>
    <x v="145"/>
    <s v="Home&amp;Kitchen|Kitchen&amp;HomeAppliances|SmallKitchenAppliances|HandBlenders"/>
    <n v="375"/>
    <n v="999"/>
    <x v="33"/>
    <x v="9"/>
    <x v="1031"/>
  </r>
  <r>
    <x v="1214"/>
    <x v="1200"/>
    <x v="156"/>
    <x v="174"/>
    <s v="Home&amp;Kitchen|Kitchen&amp;HomeAppliances|SmallKitchenAppliances|Rice&amp;PastaCookers"/>
    <n v="2976"/>
    <n v="3945"/>
    <x v="23"/>
    <x v="0"/>
    <x v="1032"/>
  </r>
  <r>
    <x v="1215"/>
    <x v="1201"/>
    <x v="279"/>
    <x v="190"/>
    <s v="Home&amp;Kitchen|Kitchen&amp;HomeAppliances|Coffee,Tea&amp;Espresso|MilkFrothers"/>
    <n v="1099"/>
    <n v="1499"/>
    <x v="35"/>
    <x v="3"/>
    <x v="1033"/>
  </r>
  <r>
    <x v="1216"/>
    <x v="1202"/>
    <x v="354"/>
    <x v="155"/>
    <s v="Home&amp;Kitchen|Kitchen&amp;HomeAppliances|Vacuum,Cleaning&amp;Ironing|Irons,Steamers&amp;Accessories|Irons|SteamIrons"/>
    <n v="2575"/>
    <n v="6700"/>
    <x v="33"/>
    <x v="0"/>
    <x v="1034"/>
  </r>
  <r>
    <x v="1217"/>
    <x v="1203"/>
    <x v="355"/>
    <x v="147"/>
    <s v="Home&amp;Kitchen|Kitchen&amp;HomeAppliances|SmallKitchenAppliances|MixerGrinders"/>
    <n v="1649"/>
    <n v="2800"/>
    <x v="19"/>
    <x v="2"/>
    <x v="825"/>
  </r>
  <r>
    <x v="1218"/>
    <x v="1204"/>
    <x v="19"/>
    <x v="145"/>
    <s v="Home&amp;Kitchen|Kitchen&amp;HomeAppliances|SmallKitchenAppliances|HandBlenders"/>
    <n v="799"/>
    <n v="1699"/>
    <x v="3"/>
    <x v="1"/>
    <x v="892"/>
  </r>
  <r>
    <x v="1219"/>
    <x v="1205"/>
    <x v="242"/>
    <x v="145"/>
    <s v="Home&amp;Kitchen|Kitchen&amp;HomeAppliances|SmallKitchenAppliances|HandBlenders"/>
    <n v="765"/>
    <n v="970"/>
    <x v="72"/>
    <x v="0"/>
    <x v="1035"/>
  </r>
  <r>
    <x v="1220"/>
    <x v="1206"/>
    <x v="262"/>
    <x v="141"/>
    <s v="Home&amp;Kitchen|Kitchen&amp;HomeAppliances|Vacuum,Cleaning&amp;Ironing|Irons,Steamers&amp;Accessories|LintShavers"/>
    <n v="999"/>
    <n v="1500"/>
    <x v="9"/>
    <x v="0"/>
    <x v="1036"/>
  </r>
  <r>
    <x v="1221"/>
    <x v="1207"/>
    <x v="76"/>
    <x v="194"/>
    <s v="Home&amp;Kitchen|Kitchen&amp;HomeAppliances|SmallKitchenAppliances|YogurtMakers"/>
    <n v="587"/>
    <n v="1295"/>
    <x v="10"/>
    <x v="3"/>
    <x v="1037"/>
  </r>
  <r>
    <x v="1222"/>
    <x v="1208"/>
    <x v="76"/>
    <x v="195"/>
    <s v="Home&amp;Kitchen|Kitchen&amp;HomeAppliances|SmallKitchenAppliances|Juicers|ColdPressJuicers"/>
    <n v="12609"/>
    <n v="23999"/>
    <x v="41"/>
    <x v="5"/>
    <x v="1038"/>
  </r>
  <r>
    <x v="1223"/>
    <x v="1209"/>
    <x v="274"/>
    <x v="146"/>
    <s v="Home&amp;Kitchen|Kitchen&amp;HomeAppliances|Vacuum,Cleaning&amp;Ironing|Irons,Steamers&amp;Accessories|Irons|DryIrons"/>
    <n v="699"/>
    <n v="850"/>
    <x v="74"/>
    <x v="3"/>
    <x v="1039"/>
  </r>
  <r>
    <x v="1224"/>
    <x v="1210"/>
    <x v="8"/>
    <x v="164"/>
    <s v="Home&amp;Kitchen|Kitchen&amp;HomeAppliances|Vacuum,Cleaning&amp;Ironing|Vacuums&amp;FloorCare|Vacuums|CanisterVacuums"/>
    <n v="3799"/>
    <n v="6000"/>
    <x v="42"/>
    <x v="0"/>
    <x v="1040"/>
  </r>
  <r>
    <x v="1225"/>
    <x v="1211"/>
    <x v="259"/>
    <x v="152"/>
    <s v="Home&amp;Kitchen|Heating,Cooling&amp;AirQuality|WaterHeaters&amp;Geysers|ImmersionRods"/>
    <n v="640"/>
    <n v="1020"/>
    <x v="42"/>
    <x v="3"/>
    <x v="1041"/>
  </r>
  <r>
    <x v="1226"/>
    <x v="1212"/>
    <x v="281"/>
    <x v="140"/>
    <s v="Home&amp;Kitchen|Heating,Cooling&amp;AirQuality|RoomHeaters|FanHeaters"/>
    <n v="979"/>
    <n v="1999"/>
    <x v="24"/>
    <x v="2"/>
    <x v="1042"/>
  </r>
  <r>
    <x v="1227"/>
    <x v="1213"/>
    <x v="240"/>
    <x v="148"/>
    <s v="Home&amp;Kitchen|Heating,Cooling&amp;AirQuality|WaterHeaters&amp;Geysers|InstantWaterHeaters"/>
    <n v="5365"/>
    <n v="7445"/>
    <x v="28"/>
    <x v="2"/>
    <x v="1043"/>
  </r>
  <r>
    <x v="1228"/>
    <x v="1214"/>
    <x v="356"/>
    <x v="155"/>
    <s v="Home&amp;Kitchen|Kitchen&amp;HomeAppliances|Vacuum,Cleaning&amp;Ironing|Irons,Steamers&amp;Accessories|Irons|SteamIrons"/>
    <n v="3199"/>
    <n v="3500"/>
    <x v="2"/>
    <x v="0"/>
    <x v="1044"/>
  </r>
  <r>
    <x v="1229"/>
    <x v="1215"/>
    <x v="249"/>
    <x v="182"/>
    <s v="Home&amp;Kitchen|Kitchen&amp;HomeAppliances|SmallKitchenAppliances|HandMixers"/>
    <n v="979"/>
    <n v="1395"/>
    <x v="76"/>
    <x v="0"/>
    <x v="1045"/>
  </r>
  <r>
    <x v="1230"/>
    <x v="1216"/>
    <x v="357"/>
    <x v="139"/>
    <s v="Home&amp;Kitchen|Heating,Cooling&amp;AirQuality|RoomHeaters|ElectricHeaters"/>
    <n v="929"/>
    <n v="2199"/>
    <x v="30"/>
    <x v="7"/>
    <x v="803"/>
  </r>
  <r>
    <x v="1231"/>
    <x v="1217"/>
    <x v="239"/>
    <x v="183"/>
    <s v="Home&amp;Kitchen|Kitchen&amp;HomeAppliances|SmallKitchenAppliances|Mills&amp;Grinders|WetGrinders"/>
    <n v="3710"/>
    <n v="4330"/>
    <x v="79"/>
    <x v="7"/>
    <x v="613"/>
  </r>
  <r>
    <x v="1232"/>
    <x v="1218"/>
    <x v="234"/>
    <x v="147"/>
    <s v="Home&amp;Kitchen|Kitchen&amp;HomeAppliances|SmallKitchenAppliances|MixerGrinders"/>
    <n v="2033"/>
    <n v="4295"/>
    <x v="3"/>
    <x v="10"/>
    <x v="1046"/>
  </r>
  <r>
    <x v="1233"/>
    <x v="1219"/>
    <x v="260"/>
    <x v="139"/>
    <s v="Home&amp;Kitchen|Heating,Cooling&amp;AirQuality|RoomHeaters|ElectricHeaters"/>
    <n v="9495"/>
    <n v="18990"/>
    <x v="8"/>
    <x v="0"/>
    <x v="942"/>
  </r>
  <r>
    <x v="1234"/>
    <x v="1220"/>
    <x v="259"/>
    <x v="151"/>
    <s v="Home&amp;Kitchen|Heating,Cooling&amp;AirQuality|WaterHeaters&amp;Geysers|StorageWaterHeaters"/>
    <n v="7799"/>
    <n v="12500"/>
    <x v="16"/>
    <x v="1"/>
    <x v="1047"/>
  </r>
  <r>
    <x v="1235"/>
    <x v="1221"/>
    <x v="358"/>
    <x v="138"/>
    <s v="Home&amp;Kitchen|Kitchen&amp;HomeAppliances|SmallKitchenAppliances|Kettles&amp;HotWaterDispensers|ElectricKettles"/>
    <n v="949"/>
    <n v="2385"/>
    <x v="13"/>
    <x v="3"/>
    <x v="1048"/>
  </r>
  <r>
    <x v="1236"/>
    <x v="1222"/>
    <x v="255"/>
    <x v="148"/>
    <s v="Home&amp;Kitchen|Heating,Cooling&amp;AirQuality|WaterHeaters&amp;Geysers|InstantWaterHeaters"/>
    <n v="2790"/>
    <n v="4890"/>
    <x v="1"/>
    <x v="2"/>
    <x v="1049"/>
  </r>
  <r>
    <x v="1237"/>
    <x v="1223"/>
    <x v="259"/>
    <x v="146"/>
    <s v="Home&amp;Kitchen|Kitchen&amp;HomeAppliances|Vacuum,Cleaning&amp;Ironing|Irons,Steamers&amp;Accessories|Irons|DryIrons"/>
    <n v="645"/>
    <n v="1100"/>
    <x v="19"/>
    <x v="1"/>
    <x v="1050"/>
  </r>
  <r>
    <x v="1238"/>
    <x v="1224"/>
    <x v="253"/>
    <x v="147"/>
    <s v="Home&amp;Kitchen|Kitchen&amp;HomeAppliances|SmallKitchenAppliances|MixerGrinders"/>
    <n v="2237.81"/>
    <n v="3899"/>
    <x v="1"/>
    <x v="2"/>
    <x v="1051"/>
  </r>
  <r>
    <x v="1239"/>
    <x v="1225"/>
    <x v="359"/>
    <x v="151"/>
    <s v="Home&amp;Kitchen|Heating,Cooling&amp;AirQuality|WaterHeaters&amp;Geysers|StorageWaterHeaters"/>
    <n v="8699"/>
    <n v="16899"/>
    <x v="75"/>
    <x v="0"/>
    <x v="1052"/>
  </r>
  <r>
    <x v="1240"/>
    <x v="1226"/>
    <x v="9"/>
    <x v="196"/>
    <s v="Home&amp;Kitchen|Heating,Cooling&amp;AirQuality|AirConditioners|Split-SystemAirConditioners"/>
    <n v="42990"/>
    <n v="75990"/>
    <x v="1"/>
    <x v="4"/>
    <x v="152"/>
  </r>
  <r>
    <x v="1241"/>
    <x v="1227"/>
    <x v="265"/>
    <x v="172"/>
    <s v="Home&amp;Kitchen|Kitchen&amp;HomeAppliances|WaterPurifiers&amp;Accessories|WaterPurifierAccessories"/>
    <n v="825"/>
    <n v="825"/>
    <x v="26"/>
    <x v="1"/>
    <x v="1053"/>
  </r>
  <r>
    <x v="1242"/>
    <x v="1228"/>
    <x v="360"/>
    <x v="162"/>
    <s v="Home&amp;Kitchen|Kitchen&amp;HomeAppliances|SmallKitchenAppliances|VacuumSealers"/>
    <n v="161"/>
    <n v="300"/>
    <x v="18"/>
    <x v="24"/>
    <x v="121"/>
  </r>
  <r>
    <x v="1243"/>
    <x v="1229"/>
    <x v="361"/>
    <x v="144"/>
    <s v="Home&amp;Kitchen|Kitchen&amp;HomeAppliances|SmallKitchenAppliances|InductionCooktop"/>
    <n v="697"/>
    <n v="1499"/>
    <x v="34"/>
    <x v="11"/>
    <x v="1054"/>
  </r>
  <r>
    <x v="1244"/>
    <x v="1230"/>
    <x v="324"/>
    <x v="197"/>
    <s v="Home&amp;Kitchen|Kitchen&amp;HomeAppliances|SmallKitchenAppliances|SmallApplianceParts&amp;Accessories"/>
    <n v="688"/>
    <n v="747"/>
    <x v="27"/>
    <x v="6"/>
    <x v="1055"/>
  </r>
  <r>
    <x v="1245"/>
    <x v="1231"/>
    <x v="348"/>
    <x v="166"/>
    <s v="Home&amp;Kitchen|Heating,Cooling&amp;AirQuality|RoomHeaters|HalogenHeaters"/>
    <n v="2199"/>
    <n v="3999"/>
    <x v="32"/>
    <x v="12"/>
    <x v="1056"/>
  </r>
  <r>
    <x v="1246"/>
    <x v="1232"/>
    <x v="362"/>
    <x v="140"/>
    <s v="Home&amp;Kitchen|Heating,Cooling&amp;AirQuality|RoomHeaters|FanHeaters"/>
    <n v="6850"/>
    <n v="11990"/>
    <x v="1"/>
    <x v="2"/>
    <x v="1054"/>
  </r>
  <r>
    <x v="1247"/>
    <x v="1233"/>
    <x v="363"/>
    <x v="148"/>
    <s v="Home&amp;Kitchen|Heating,Cooling&amp;AirQuality|WaterHeaters&amp;Geysers|InstantWaterHeaters"/>
    <n v="2699"/>
    <n v="3799"/>
    <x v="56"/>
    <x v="1"/>
    <x v="1057"/>
  </r>
  <r>
    <x v="1248"/>
    <x v="1234"/>
    <x v="364"/>
    <x v="198"/>
    <s v="Home&amp;Kitchen|Kitchen&amp;HomeAppliances|SmallKitchenAppliances|WaffleMakers&amp;Irons"/>
    <n v="899"/>
    <n v="1999"/>
    <x v="10"/>
    <x v="1"/>
    <x v="1058"/>
  </r>
  <r>
    <x v="1249"/>
    <x v="1235"/>
    <x v="335"/>
    <x v="140"/>
    <s v="Home&amp;Kitchen|Heating,Cooling&amp;AirQuality|RoomHeaters|FanHeaters"/>
    <n v="1090"/>
    <n v="2999"/>
    <x v="0"/>
    <x v="12"/>
    <x v="125"/>
  </r>
  <r>
    <x v="1250"/>
    <x v="1236"/>
    <x v="365"/>
    <x v="142"/>
    <s v="Home&amp;Kitchen|Kitchen&amp;HomeAppliances|SmallKitchenAppliances|DigitalKitchenScales"/>
    <n v="295"/>
    <n v="599"/>
    <x v="24"/>
    <x v="1"/>
    <x v="1059"/>
  </r>
  <r>
    <x v="1251"/>
    <x v="1237"/>
    <x v="275"/>
    <x v="150"/>
    <s v="Home&amp;Kitchen|Kitchen&amp;HomeAppliances|SmallKitchenAppliances|Kettles&amp;HotWaterDispensers|Kettle&amp;ToasterSets"/>
    <n v="479"/>
    <n v="1999"/>
    <x v="60"/>
    <x v="10"/>
    <x v="1060"/>
  </r>
  <r>
    <x v="1252"/>
    <x v="1238"/>
    <x v="359"/>
    <x v="148"/>
    <s v="Home&amp;Kitchen|Heating,Cooling&amp;AirQuality|WaterHeaters&amp;Geysers|InstantWaterHeaters"/>
    <n v="2949"/>
    <n v="4849"/>
    <x v="17"/>
    <x v="0"/>
    <x v="1061"/>
  </r>
  <r>
    <x v="1253"/>
    <x v="1239"/>
    <x v="366"/>
    <x v="152"/>
    <s v="Home&amp;Kitchen|Heating,Cooling&amp;AirQuality|WaterHeaters&amp;Geysers|ImmersionRods"/>
    <n v="335"/>
    <n v="510"/>
    <x v="67"/>
    <x v="11"/>
    <x v="1052"/>
  </r>
  <r>
    <x v="1254"/>
    <x v="1240"/>
    <x v="367"/>
    <x v="171"/>
    <s v="Home&amp;Kitchen|Kitchen&amp;HomeAppliances|Coffee,Tea&amp;Espresso|DripCoffeeMachines"/>
    <n v="293"/>
    <n v="499"/>
    <x v="19"/>
    <x v="3"/>
    <x v="1062"/>
  </r>
  <r>
    <x v="1255"/>
    <x v="1241"/>
    <x v="368"/>
    <x v="199"/>
    <s v="Home&amp;Kitchen|Kitchen&amp;HomeAppliances|Coffee,Tea&amp;Espresso|StovetopEspressoPots"/>
    <n v="599"/>
    <n v="1299"/>
    <x v="34"/>
    <x v="0"/>
    <x v="91"/>
  </r>
  <r>
    <x v="1256"/>
    <x v="1242"/>
    <x v="369"/>
    <x v="172"/>
    <s v="Home&amp;Kitchen|Kitchen&amp;HomeAppliances|WaterPurifiers&amp;Accessories|WaterPurifierAccessories"/>
    <n v="499"/>
    <n v="999"/>
    <x v="8"/>
    <x v="4"/>
    <x v="1063"/>
  </r>
  <r>
    <x v="1257"/>
    <x v="1243"/>
    <x v="244"/>
    <x v="146"/>
    <s v="Home&amp;Kitchen|Kitchen&amp;HomeAppliances|Vacuum,Cleaning&amp;Ironing|Irons,Steamers&amp;Accessories|Irons|DryIrons"/>
    <n v="849"/>
    <n v="1190"/>
    <x v="56"/>
    <x v="0"/>
    <x v="1064"/>
  </r>
  <r>
    <x v="1258"/>
    <x v="1244"/>
    <x v="370"/>
    <x v="171"/>
    <s v="Home&amp;Kitchen|Kitchen&amp;HomeAppliances|Coffee,Tea&amp;Espresso|DripCoffeeMachines"/>
    <n v="249"/>
    <n v="400"/>
    <x v="16"/>
    <x v="3"/>
    <x v="1065"/>
  </r>
  <r>
    <x v="1259"/>
    <x v="1245"/>
    <x v="365"/>
    <x v="172"/>
    <s v="Home&amp;Kitchen|Kitchen&amp;HomeAppliances|WaterPurifiers&amp;Accessories|WaterPurifierAccessories"/>
    <n v="185"/>
    <n v="599"/>
    <x v="12"/>
    <x v="2"/>
    <x v="1066"/>
  </r>
  <r>
    <x v="1260"/>
    <x v="1246"/>
    <x v="371"/>
    <x v="140"/>
    <s v="Home&amp;Kitchen|Heating,Cooling&amp;AirQuality|RoomHeaters|FanHeaters"/>
    <n v="778"/>
    <n v="999"/>
    <x v="47"/>
    <x v="8"/>
    <x v="1067"/>
  </r>
  <r>
    <x v="1261"/>
    <x v="1247"/>
    <x v="372"/>
    <x v="200"/>
    <s v="Home&amp;Kitchen|Kitchen&amp;HomeAppliances|Coffee,Tea&amp;Espresso|CoffeeMakerAccessories|MeasuringSpoons"/>
    <n v="279"/>
    <n v="699"/>
    <x v="13"/>
    <x v="4"/>
    <x v="1068"/>
  </r>
  <r>
    <x v="1262"/>
    <x v="1248"/>
    <x v="373"/>
    <x v="172"/>
    <s v="Home&amp;Kitchen|Kitchen&amp;HomeAppliances|WaterPurifiers&amp;Accessories|WaterPurifierAccessories"/>
    <n v="215"/>
    <n v="1499"/>
    <x v="40"/>
    <x v="2"/>
    <x v="1069"/>
  </r>
  <r>
    <x v="1263"/>
    <x v="1249"/>
    <x v="244"/>
    <x v="146"/>
    <s v="Home&amp;Kitchen|Kitchen&amp;HomeAppliances|Vacuum,Cleaning&amp;Ironing|Irons,Steamers&amp;Accessories|Irons|DryIrons"/>
    <n v="889"/>
    <n v="1295"/>
    <x v="39"/>
    <x v="4"/>
    <x v="1070"/>
  </r>
  <r>
    <x v="1264"/>
    <x v="1250"/>
    <x v="374"/>
    <x v="148"/>
    <s v="Home&amp;Kitchen|Heating,Cooling&amp;AirQuality|WaterHeaters&amp;Geysers|InstantWaterHeaters"/>
    <n v="1449"/>
    <n v="4999"/>
    <x v="58"/>
    <x v="9"/>
    <x v="984"/>
  </r>
  <r>
    <x v="1265"/>
    <x v="1251"/>
    <x v="375"/>
    <x v="148"/>
    <s v="Home&amp;Kitchen|Heating,Cooling&amp;AirQuality|WaterHeaters&amp;Geysers|InstantWaterHeaters"/>
    <n v="1190"/>
    <n v="2550"/>
    <x v="3"/>
    <x v="11"/>
    <x v="1071"/>
  </r>
  <r>
    <x v="1266"/>
    <x v="1252"/>
    <x v="246"/>
    <x v="178"/>
    <s v="Home&amp;Kitchen|Kitchen&amp;HomeAppliances|WaterPurifiers&amp;Accessories|WaterFilters&amp;Purifiers"/>
    <n v="1799"/>
    <n v="1950"/>
    <x v="27"/>
    <x v="2"/>
    <x v="1072"/>
  </r>
  <r>
    <x v="1267"/>
    <x v="1253"/>
    <x v="324"/>
    <x v="147"/>
    <s v="Home&amp;Kitchen|Kitchen&amp;HomeAppliances|SmallKitchenAppliances|MixerGrinders"/>
    <n v="6120"/>
    <n v="8478"/>
    <x v="28"/>
    <x v="13"/>
    <x v="1073"/>
  </r>
  <r>
    <x v="1268"/>
    <x v="1254"/>
    <x v="247"/>
    <x v="147"/>
    <s v="Home&amp;Kitchen|Kitchen&amp;HomeAppliances|SmallKitchenAppliances|MixerGrinders"/>
    <n v="1799"/>
    <n v="3299"/>
    <x v="32"/>
    <x v="11"/>
    <x v="1074"/>
  </r>
  <r>
    <x v="1269"/>
    <x v="1255"/>
    <x v="376"/>
    <x v="147"/>
    <s v="Home&amp;Kitchen|Kitchen&amp;HomeAppliances|SmallKitchenAppliances|MixerGrinders"/>
    <n v="2199"/>
    <n v="3895"/>
    <x v="15"/>
    <x v="2"/>
    <x v="1075"/>
  </r>
  <r>
    <x v="1270"/>
    <x v="1256"/>
    <x v="76"/>
    <x v="174"/>
    <s v="Home&amp;Kitchen|Kitchen&amp;HomeAppliances|SmallKitchenAppliances|Rice&amp;PastaCookers"/>
    <n v="3685"/>
    <n v="5495"/>
    <x v="9"/>
    <x v="3"/>
    <x v="903"/>
  </r>
  <r>
    <x v="1271"/>
    <x v="1257"/>
    <x v="377"/>
    <x v="156"/>
    <s v="Home&amp;Kitchen|Kitchen&amp;HomeAppliances|SmallKitchenAppliances|JuicerMixerGrinders"/>
    <n v="649"/>
    <n v="999"/>
    <x v="31"/>
    <x v="9"/>
    <x v="803"/>
  </r>
  <r>
    <x v="1272"/>
    <x v="1258"/>
    <x v="251"/>
    <x v="184"/>
    <s v="Home&amp;Kitchen|Kitchen&amp;HomeAppliances|SmallKitchenAppliances|OvenToasterGrills"/>
    <n v="8599"/>
    <n v="8995"/>
    <x v="54"/>
    <x v="5"/>
    <x v="1076"/>
  </r>
  <r>
    <x v="1273"/>
    <x v="1259"/>
    <x v="235"/>
    <x v="146"/>
    <s v="Home&amp;Kitchen|Kitchen&amp;HomeAppliances|Vacuum,Cleaning&amp;Ironing|Irons,Steamers&amp;Accessories|Irons|DryIrons"/>
    <n v="1110"/>
    <n v="1599"/>
    <x v="39"/>
    <x v="4"/>
    <x v="1077"/>
  </r>
  <r>
    <x v="1274"/>
    <x v="1260"/>
    <x v="378"/>
    <x v="148"/>
    <s v="Home&amp;Kitchen|Heating,Cooling&amp;AirQuality|WaterHeaters&amp;Geysers|InstantWaterHeaters"/>
    <n v="1499"/>
    <n v="3500"/>
    <x v="48"/>
    <x v="16"/>
    <x v="1078"/>
  </r>
  <r>
    <x v="1275"/>
    <x v="1261"/>
    <x v="278"/>
    <x v="142"/>
    <s v="Home&amp;Kitchen|Kitchen&amp;HomeAppliances|SmallKitchenAppliances|DigitalKitchenScales"/>
    <n v="759"/>
    <n v="1999"/>
    <x v="33"/>
    <x v="4"/>
    <x v="1079"/>
  </r>
  <r>
    <x v="1276"/>
    <x v="1262"/>
    <x v="379"/>
    <x v="157"/>
    <s v="Home&amp;Kitchen|Kitchen&amp;HomeAppliances|Vacuum,Cleaning&amp;Ironing|Vacuums&amp;FloorCare|Vacuums|HandheldVacuums"/>
    <n v="2669"/>
    <n v="3199"/>
    <x v="49"/>
    <x v="2"/>
    <x v="1080"/>
  </r>
  <r>
    <x v="1277"/>
    <x v="1263"/>
    <x v="247"/>
    <x v="159"/>
    <s v="Home&amp;Kitchen|Kitchen&amp;HomeAppliances|SmallKitchenAppliances|SandwichMakers"/>
    <n v="929"/>
    <n v="1300"/>
    <x v="56"/>
    <x v="2"/>
    <x v="1081"/>
  </r>
  <r>
    <x v="1278"/>
    <x v="1264"/>
    <x v="269"/>
    <x v="154"/>
    <s v="Home&amp;Kitchen|HomeStorage&amp;Organization|LaundryOrganization|LaundryBaskets"/>
    <n v="199"/>
    <n v="399"/>
    <x v="8"/>
    <x v="7"/>
    <x v="1082"/>
  </r>
  <r>
    <x v="1279"/>
    <x v="1265"/>
    <x v="256"/>
    <x v="141"/>
    <s v="Home&amp;Kitchen|Kitchen&amp;HomeAppliances|Vacuum,Cleaning&amp;Ironing|Irons,Steamers&amp;Accessories|LintShavers"/>
    <n v="279"/>
    <n v="599"/>
    <x v="3"/>
    <x v="12"/>
    <x v="694"/>
  </r>
  <r>
    <x v="1280"/>
    <x v="1266"/>
    <x v="380"/>
    <x v="145"/>
    <s v="Home&amp;Kitchen|Kitchen&amp;HomeAppliances|SmallKitchenAppliances|HandBlenders"/>
    <n v="549"/>
    <n v="999"/>
    <x v="32"/>
    <x v="1"/>
    <x v="52"/>
  </r>
  <r>
    <x v="1281"/>
    <x v="1267"/>
    <x v="381"/>
    <x v="181"/>
    <s v="Home&amp;Kitchen|HomeStorage&amp;Organization|LaundryOrganization|IroningAccessories|SprayBottles"/>
    <n v="85"/>
    <n v="199"/>
    <x v="48"/>
    <x v="3"/>
    <x v="1083"/>
  </r>
  <r>
    <x v="1282"/>
    <x v="1268"/>
    <x v="382"/>
    <x v="156"/>
    <s v="Home&amp;Kitchen|Kitchen&amp;HomeAppliances|SmallKitchenAppliances|JuicerMixerGrinders"/>
    <n v="499"/>
    <n v="1299"/>
    <x v="33"/>
    <x v="2"/>
    <x v="1084"/>
  </r>
  <r>
    <x v="1283"/>
    <x v="1269"/>
    <x v="324"/>
    <x v="156"/>
    <s v="Home&amp;Kitchen|Kitchen&amp;HomeAppliances|SmallKitchenAppliances|JuicerMixerGrinders"/>
    <n v="5865"/>
    <n v="7776"/>
    <x v="23"/>
    <x v="5"/>
    <x v="923"/>
  </r>
  <r>
    <x v="1284"/>
    <x v="1270"/>
    <x v="76"/>
    <x v="138"/>
    <s v="Home&amp;Kitchen|Kitchen&amp;HomeAppliances|SmallKitchenAppliances|Kettles&amp;HotWaterDispensers|ElectricKettles"/>
    <n v="1260"/>
    <n v="2299"/>
    <x v="32"/>
    <x v="4"/>
    <x v="1085"/>
  </r>
  <r>
    <x v="1285"/>
    <x v="1271"/>
    <x v="383"/>
    <x v="201"/>
    <s v="Home&amp;Kitchen|Kitchen&amp;HomeAppliances|Coffee,Tea&amp;Espresso|CoffeePresses"/>
    <n v="1099"/>
    <n v="1500"/>
    <x v="35"/>
    <x v="6"/>
    <x v="1086"/>
  </r>
  <r>
    <x v="1286"/>
    <x v="1272"/>
    <x v="260"/>
    <x v="159"/>
    <s v="Home&amp;Kitchen|Kitchen&amp;HomeAppliances|SmallKitchenAppliances|SandwichMakers"/>
    <n v="1928"/>
    <n v="2590"/>
    <x v="55"/>
    <x v="1"/>
    <x v="1087"/>
  </r>
  <r>
    <x v="1287"/>
    <x v="1273"/>
    <x v="335"/>
    <x v="151"/>
    <s v="Home&amp;Kitchen|Heating,Cooling&amp;AirQuality|WaterHeaters&amp;Geysers|StorageWaterHeaters"/>
    <n v="3249"/>
    <n v="6299"/>
    <x v="61"/>
    <x v="2"/>
    <x v="1088"/>
  </r>
  <r>
    <x v="1288"/>
    <x v="1274"/>
    <x v="239"/>
    <x v="159"/>
    <s v="Home&amp;Kitchen|Kitchen&amp;HomeAppliances|SmallKitchenAppliances|SandwichMakers"/>
    <n v="1199"/>
    <n v="1795"/>
    <x v="9"/>
    <x v="0"/>
    <x v="1089"/>
  </r>
  <r>
    <x v="1289"/>
    <x v="1275"/>
    <x v="301"/>
    <x v="138"/>
    <s v="Home&amp;Kitchen|Kitchen&amp;HomeAppliances|SmallKitchenAppliances|Kettles&amp;HotWaterDispensers|ElectricKettles"/>
    <n v="1456"/>
    <n v="3190"/>
    <x v="34"/>
    <x v="3"/>
    <x v="1090"/>
  </r>
  <r>
    <x v="1290"/>
    <x v="1276"/>
    <x v="266"/>
    <x v="156"/>
    <s v="Home&amp;Kitchen|Kitchen&amp;HomeAppliances|SmallKitchenAppliances|JuicerMixerGrinders"/>
    <n v="3349"/>
    <n v="4799"/>
    <x v="76"/>
    <x v="7"/>
    <x v="1091"/>
  </r>
  <r>
    <x v="1291"/>
    <x v="1277"/>
    <x v="341"/>
    <x v="165"/>
    <s v="Home&amp;Kitchen|Kitchen&amp;HomeAppliances|Vacuum,Cleaning&amp;Ironing|PressureWashers,Steam&amp;WindowCleaners"/>
    <n v="4899"/>
    <n v="8999"/>
    <x v="18"/>
    <x v="3"/>
    <x v="1092"/>
  </r>
  <r>
    <x v="1292"/>
    <x v="1278"/>
    <x v="340"/>
    <x v="150"/>
    <s v="Home&amp;Kitchen|Kitchen&amp;HomeAppliances|SmallKitchenAppliances|Kettles&amp;HotWaterDispensers|Kettle&amp;ToasterSets"/>
    <n v="1199"/>
    <n v="1899"/>
    <x v="42"/>
    <x v="0"/>
    <x v="1093"/>
  </r>
  <r>
    <x v="1293"/>
    <x v="1279"/>
    <x v="76"/>
    <x v="191"/>
    <s v="Home&amp;Kitchen|Heating,Cooling&amp;AirQuality|Humidifiers"/>
    <n v="3290"/>
    <n v="5799"/>
    <x v="1"/>
    <x v="4"/>
    <x v="1094"/>
  </r>
  <r>
    <x v="1294"/>
    <x v="1280"/>
    <x v="384"/>
    <x v="141"/>
    <s v="Home&amp;Kitchen|Kitchen&amp;HomeAppliances|Vacuum,Cleaning&amp;Ironing|Irons,Steamers&amp;Accessories|LintShavers"/>
    <n v="179"/>
    <n v="799"/>
    <x v="38"/>
    <x v="9"/>
    <x v="1095"/>
  </r>
  <r>
    <x v="1295"/>
    <x v="1281"/>
    <x v="385"/>
    <x v="200"/>
    <s v="Home&amp;Kitchen|Kitchen&amp;HomeAppliances|Coffee,Tea&amp;Espresso|CoffeeMakerAccessories|MeasuringSpoons"/>
    <n v="149"/>
    <n v="300"/>
    <x v="8"/>
    <x v="3"/>
    <x v="1096"/>
  </r>
  <r>
    <x v="1296"/>
    <x v="1282"/>
    <x v="324"/>
    <x v="147"/>
    <s v="Home&amp;Kitchen|Kitchen&amp;HomeAppliances|SmallKitchenAppliances|MixerGrinders"/>
    <n v="5490"/>
    <n v="7200"/>
    <x v="66"/>
    <x v="6"/>
    <x v="1097"/>
  </r>
  <r>
    <x v="1297"/>
    <x v="1283"/>
    <x v="386"/>
    <x v="142"/>
    <s v="Home&amp;Kitchen|Kitchen&amp;HomeAppliances|SmallKitchenAppliances|DigitalKitchenScales"/>
    <n v="379"/>
    <n v="389"/>
    <x v="76"/>
    <x v="0"/>
    <x v="1098"/>
  </r>
  <r>
    <x v="1298"/>
    <x v="1284"/>
    <x v="291"/>
    <x v="178"/>
    <s v="Home&amp;Kitchen|Kitchen&amp;HomeAppliances|WaterPurifiers&amp;Accessories|WaterFilters&amp;Purifiers"/>
    <n v="8699"/>
    <n v="13049"/>
    <x v="9"/>
    <x v="4"/>
    <x v="1099"/>
  </r>
  <r>
    <x v="1299"/>
    <x v="1285"/>
    <x v="240"/>
    <x v="147"/>
    <s v="Home&amp;Kitchen|Kitchen&amp;HomeAppliances|SmallKitchenAppliances|MixerGrinders"/>
    <n v="3041.67"/>
    <n v="5999"/>
    <x v="75"/>
    <x v="1"/>
    <x v="1100"/>
  </r>
  <r>
    <x v="1300"/>
    <x v="1286"/>
    <x v="246"/>
    <x v="145"/>
    <s v="Home&amp;Kitchen|Kitchen&amp;HomeAppliances|SmallKitchenAppliances|HandBlenders"/>
    <n v="1745"/>
    <n v="2400"/>
    <x v="35"/>
    <x v="0"/>
    <x v="1101"/>
  </r>
  <r>
    <x v="1301"/>
    <x v="1287"/>
    <x v="239"/>
    <x v="144"/>
    <s v="Home&amp;Kitchen|Kitchen&amp;HomeAppliances|SmallKitchenAppliances|InductionCooktop"/>
    <n v="3180"/>
    <n v="5295"/>
    <x v="54"/>
    <x v="0"/>
    <x v="1102"/>
  </r>
  <r>
    <x v="1302"/>
    <x v="1288"/>
    <x v="387"/>
    <x v="178"/>
    <s v="Home&amp;Kitchen|Kitchen&amp;HomeAppliances|WaterPurifiers&amp;Accessories|WaterFilters&amp;Purifiers"/>
    <n v="4999"/>
    <n v="24999"/>
    <x v="27"/>
    <x v="6"/>
    <x v="1103"/>
  </r>
  <r>
    <x v="1303"/>
    <x v="1289"/>
    <x v="250"/>
    <x v="154"/>
    <s v="Home&amp;Kitchen|HomeStorage&amp;Organization|LaundryOrganization|LaundryBaskets"/>
    <n v="390"/>
    <n v="799"/>
    <x v="24"/>
    <x v="11"/>
    <x v="1103"/>
  </r>
  <r>
    <x v="1304"/>
    <x v="1290"/>
    <x v="388"/>
    <x v="202"/>
    <s v="Home&amp;Kitchen|Kitchen&amp;HomeAppliances|SmallKitchenAppliances|RotiMakers"/>
    <n v="1999"/>
    <n v="2999"/>
    <x v="9"/>
    <x v="5"/>
    <x v="583"/>
  </r>
  <r>
    <x v="1305"/>
    <x v="1291"/>
    <x v="389"/>
    <x v="158"/>
    <s v="Home&amp;Kitchen|Kitchen&amp;HomeAppliances|SmallKitchenAppliances|EggBoilers"/>
    <n v="1624"/>
    <n v="2495"/>
    <x v="31"/>
    <x v="3"/>
    <x v="1104"/>
  </r>
  <r>
    <x v="1306"/>
    <x v="1292"/>
    <x v="390"/>
    <x v="200"/>
    <s v="Home&amp;Kitchen|Kitchen&amp;HomeAppliances|Coffee,Tea&amp;Espresso|CoffeeMakerAccessories|MeasuringSpoons"/>
    <n v="184"/>
    <n v="450"/>
    <x v="53"/>
    <x v="0"/>
    <x v="400"/>
  </r>
  <r>
    <x v="1307"/>
    <x v="1293"/>
    <x v="271"/>
    <x v="141"/>
    <s v="Home&amp;Kitchen|Kitchen&amp;HomeAppliances|Vacuum,Cleaning&amp;Ironing|Irons,Steamers&amp;Accessories|LintShavers"/>
    <n v="445"/>
    <n v="999"/>
    <x v="10"/>
    <x v="4"/>
    <x v="1105"/>
  </r>
  <r>
    <x v="1308"/>
    <x v="1294"/>
    <x v="391"/>
    <x v="203"/>
    <s v="Home&amp;Kitchen|Heating,Cooling&amp;AirQuality|Parts&amp;Accessories|FanParts&amp;Accessories"/>
    <n v="699"/>
    <n v="1690"/>
    <x v="53"/>
    <x v="3"/>
    <x v="1106"/>
  </r>
  <r>
    <x v="1309"/>
    <x v="1295"/>
    <x v="301"/>
    <x v="144"/>
    <s v="Home&amp;Kitchen|Kitchen&amp;HomeAppliances|SmallKitchenAppliances|InductionCooktop"/>
    <n v="1601"/>
    <n v="3890"/>
    <x v="53"/>
    <x v="0"/>
    <x v="1107"/>
  </r>
  <r>
    <x v="1310"/>
    <x v="1296"/>
    <x v="246"/>
    <x v="172"/>
    <s v="Home&amp;Kitchen|Kitchen&amp;HomeAppliances|WaterPurifiers&amp;Accessories|WaterPurifierAccessories"/>
    <n v="231"/>
    <n v="260"/>
    <x v="68"/>
    <x v="3"/>
    <x v="142"/>
  </r>
  <r>
    <x v="1311"/>
    <x v="1297"/>
    <x v="392"/>
    <x v="141"/>
    <s v="Home&amp;Kitchen|Kitchen&amp;HomeAppliances|Vacuum,Cleaning&amp;Ironing|Irons,Steamers&amp;Accessories|LintShavers"/>
    <n v="369"/>
    <n v="599"/>
    <x v="16"/>
    <x v="2"/>
    <x v="1108"/>
  </r>
  <r>
    <x v="1312"/>
    <x v="1298"/>
    <x v="301"/>
    <x v="138"/>
    <s v="Home&amp;Kitchen|Kitchen&amp;HomeAppliances|SmallKitchenAppliances|Kettles&amp;HotWaterDispensers|ElectricKettles"/>
    <n v="809"/>
    <n v="1950"/>
    <x v="53"/>
    <x v="2"/>
    <x v="1109"/>
  </r>
  <r>
    <x v="1313"/>
    <x v="1299"/>
    <x v="290"/>
    <x v="147"/>
    <s v="Home&amp;Kitchen|Kitchen&amp;HomeAppliances|SmallKitchenAppliances|MixerGrinders"/>
    <n v="1199"/>
    <n v="2990"/>
    <x v="13"/>
    <x v="11"/>
    <x v="1110"/>
  </r>
  <r>
    <x v="1314"/>
    <x v="1300"/>
    <x v="324"/>
    <x v="147"/>
    <s v="Home&amp;Kitchen|Kitchen&amp;HomeAppliances|SmallKitchenAppliances|MixerGrinders"/>
    <n v="6120"/>
    <n v="8073"/>
    <x v="66"/>
    <x v="13"/>
    <x v="1111"/>
  </r>
  <r>
    <x v="1315"/>
    <x v="1301"/>
    <x v="274"/>
    <x v="155"/>
    <s v="Home&amp;Kitchen|Kitchen&amp;HomeAppliances|Vacuum,Cleaning&amp;Ironing|Irons,Steamers&amp;Accessories|Irons|SteamIrons"/>
    <n v="1799"/>
    <n v="2599"/>
    <x v="39"/>
    <x v="9"/>
    <x v="1112"/>
  </r>
  <r>
    <x v="1316"/>
    <x v="1302"/>
    <x v="6"/>
    <x v="193"/>
    <s v="Home&amp;Kitchen|Kitchen&amp;HomeAppliances|Vacuum,Cleaning&amp;Ironing|Vacuums&amp;FloorCare|Vacuums|RoboticVacuums"/>
    <n v="18999"/>
    <n v="29999"/>
    <x v="42"/>
    <x v="3"/>
    <x v="1113"/>
  </r>
  <r>
    <x v="1317"/>
    <x v="1303"/>
    <x v="244"/>
    <x v="170"/>
    <s v="Home&amp;Kitchen|Heating,Cooling&amp;AirQuality|Fans|ExhaustFans"/>
    <n v="1999"/>
    <n v="2360"/>
    <x v="59"/>
    <x v="0"/>
    <x v="1114"/>
  </r>
  <r>
    <x v="1318"/>
    <x v="1304"/>
    <x v="76"/>
    <x v="204"/>
    <s v="Home&amp;Kitchen|Kitchen&amp;HomeAppliances|SmallKitchenAppliances|StandMixers"/>
    <n v="5999"/>
    <n v="11495"/>
    <x v="61"/>
    <x v="4"/>
    <x v="1115"/>
  </r>
  <r>
    <x v="1319"/>
    <x v="1305"/>
    <x v="259"/>
    <x v="163"/>
    <s v="Home&amp;Kitchen|Heating,Cooling&amp;AirQuality|Fans|CeilingFans"/>
    <n v="2599"/>
    <n v="4780"/>
    <x v="18"/>
    <x v="2"/>
    <x v="1116"/>
  </r>
  <r>
    <x v="1320"/>
    <x v="1306"/>
    <x v="247"/>
    <x v="198"/>
    <s v="Home&amp;Kitchen|Kitchen&amp;HomeAppliances|SmallKitchenAppliances|WaffleMakers&amp;Irons"/>
    <n v="1199"/>
    <n v="2400"/>
    <x v="8"/>
    <x v="2"/>
    <x v="1117"/>
  </r>
  <r>
    <x v="1321"/>
    <x v="1307"/>
    <x v="269"/>
    <x v="154"/>
    <s v="Home&amp;Kitchen|HomeStorage&amp;Organization|LaundryOrganization|LaundryBaskets"/>
    <n v="219"/>
    <n v="249"/>
    <x v="83"/>
    <x v="1"/>
    <x v="1118"/>
  </r>
  <r>
    <x v="1322"/>
    <x v="1308"/>
    <x v="393"/>
    <x v="140"/>
    <s v="Home&amp;Kitchen|Heating,Cooling&amp;AirQuality|RoomHeaters|FanHeaters"/>
    <n v="799"/>
    <n v="1199"/>
    <x v="9"/>
    <x v="5"/>
    <x v="1119"/>
  </r>
  <r>
    <x v="1323"/>
    <x v="1309"/>
    <x v="394"/>
    <x v="176"/>
    <s v="Home&amp;Kitchen|Kitchen&amp;HomeAppliances|Vacuum,Cleaning&amp;Ironing|Vacuums&amp;FloorCare|Vacuums|Wet-DryVacuums"/>
    <n v="6199"/>
    <n v="10999"/>
    <x v="15"/>
    <x v="0"/>
    <x v="1120"/>
  </r>
  <r>
    <x v="1324"/>
    <x v="1310"/>
    <x v="249"/>
    <x v="153"/>
    <s v="Home&amp;Kitchen|Kitchen&amp;HomeAppliances|SmallKitchenAppliances|DeepFatFryers|AirFryers"/>
    <n v="6790"/>
    <n v="10995"/>
    <x v="16"/>
    <x v="6"/>
    <x v="1121"/>
  </r>
  <r>
    <x v="1325"/>
    <x v="1311"/>
    <x v="8"/>
    <x v="205"/>
    <s v="Home&amp;Kitchen|Heating,Cooling&amp;AirQuality|Fans|PedestalFans"/>
    <n v="1982.84"/>
    <n v="3300"/>
    <x v="54"/>
    <x v="3"/>
    <x v="1122"/>
  </r>
  <r>
    <x v="1326"/>
    <x v="1312"/>
    <x v="395"/>
    <x v="172"/>
    <s v="Home&amp;Kitchen|Kitchen&amp;HomeAppliances|WaterPurifiers&amp;Accessories|WaterPurifierAccessories"/>
    <n v="199"/>
    <n v="400"/>
    <x v="8"/>
    <x v="3"/>
    <x v="1123"/>
  </r>
  <r>
    <x v="1327"/>
    <x v="1313"/>
    <x v="260"/>
    <x v="138"/>
    <s v="Home&amp;Kitchen|Kitchen&amp;HomeAppliances|SmallKitchenAppliances|Kettles&amp;HotWaterDispensers|ElectricKettles"/>
    <n v="1180"/>
    <n v="1440"/>
    <x v="74"/>
    <x v="0"/>
    <x v="1124"/>
  </r>
  <r>
    <x v="1328"/>
    <x v="1314"/>
    <x v="244"/>
    <x v="163"/>
    <s v="Home&amp;Kitchen|Heating,Cooling&amp;AirQuality|Fans|CeilingFans"/>
    <n v="2199"/>
    <n v="3045"/>
    <x v="28"/>
    <x v="0"/>
    <x v="1125"/>
  </r>
  <r>
    <x v="1329"/>
    <x v="1315"/>
    <x v="251"/>
    <x v="171"/>
    <s v="Home&amp;Kitchen|Kitchen&amp;HomeAppliances|Coffee,Tea&amp;Espresso|DripCoffeeMachines"/>
    <n v="2999"/>
    <n v="3595"/>
    <x v="49"/>
    <x v="1"/>
    <x v="1126"/>
  </r>
  <r>
    <x v="1330"/>
    <x v="1316"/>
    <x v="265"/>
    <x v="206"/>
    <s v="Home&amp;Kitchen|Kitchen&amp;HomeAppliances|Vacuum,Cleaning&amp;Ironing|Vacuums&amp;FloorCare|VacuumAccessories|VacuumBags|HandheldBags"/>
    <n v="253"/>
    <n v="500"/>
    <x v="75"/>
    <x v="4"/>
    <x v="1127"/>
  </r>
  <r>
    <x v="1331"/>
    <x v="1317"/>
    <x v="396"/>
    <x v="191"/>
    <s v="Home&amp;Kitchen|Heating,Cooling&amp;AirQuality|Humidifiers"/>
    <n v="499"/>
    <n v="799"/>
    <x v="16"/>
    <x v="9"/>
    <x v="1083"/>
  </r>
  <r>
    <x v="1332"/>
    <x v="1318"/>
    <x v="397"/>
    <x v="139"/>
    <s v="Home&amp;Kitchen|Heating,Cooling&amp;AirQuality|RoomHeaters|ElectricHeaters"/>
    <n v="1149"/>
    <n v="1899"/>
    <x v="17"/>
    <x v="12"/>
    <x v="121"/>
  </r>
  <r>
    <x v="1333"/>
    <x v="1319"/>
    <x v="398"/>
    <x v="146"/>
    <s v="Home&amp;Kitchen|Kitchen&amp;HomeAppliances|Vacuum,Cleaning&amp;Ironing|Irons,Steamers&amp;Accessories|Irons|DryIrons"/>
    <n v="457"/>
    <n v="799"/>
    <x v="1"/>
    <x v="4"/>
    <x v="1128"/>
  </r>
  <r>
    <x v="1334"/>
    <x v="1320"/>
    <x v="270"/>
    <x v="190"/>
    <s v="Home&amp;Kitchen|Kitchen&amp;HomeAppliances|Coffee,Tea&amp;Espresso|MilkFrothers"/>
    <n v="229"/>
    <n v="399"/>
    <x v="1"/>
    <x v="9"/>
    <x v="1129"/>
  </r>
  <r>
    <x v="1335"/>
    <x v="1321"/>
    <x v="365"/>
    <x v="172"/>
    <s v="Home&amp;Kitchen|Kitchen&amp;HomeAppliances|WaterPurifiers&amp;Accessories|WaterPurifierAccessories"/>
    <n v="199"/>
    <n v="699"/>
    <x v="22"/>
    <x v="25"/>
    <x v="1130"/>
  </r>
  <r>
    <x v="1336"/>
    <x v="1322"/>
    <x v="399"/>
    <x v="198"/>
    <s v="Home&amp;Kitchen|Kitchen&amp;HomeAppliances|SmallKitchenAppliances|WaffleMakers&amp;Irons"/>
    <n v="899"/>
    <n v="1999"/>
    <x v="10"/>
    <x v="0"/>
    <x v="1131"/>
  </r>
  <r>
    <x v="1337"/>
    <x v="1323"/>
    <x v="240"/>
    <x v="182"/>
    <s v="Home&amp;Kitchen|Kitchen&amp;HomeAppliances|SmallKitchenAppliances|HandMixers"/>
    <n v="1499"/>
    <n v="2199"/>
    <x v="44"/>
    <x v="5"/>
    <x v="1132"/>
  </r>
  <r>
    <x v="1338"/>
    <x v="1324"/>
    <x v="400"/>
    <x v="145"/>
    <s v="Home&amp;Kitchen|Kitchen&amp;HomeAppliances|SmallKitchenAppliances|HandBlenders"/>
    <n v="426"/>
    <n v="999"/>
    <x v="48"/>
    <x v="3"/>
    <x v="1133"/>
  </r>
  <r>
    <x v="1339"/>
    <x v="1325"/>
    <x v="235"/>
    <x v="140"/>
    <s v="Home&amp;Kitchen|Heating,Cooling&amp;AirQuality|RoomHeaters|FanHeaters"/>
    <n v="2320"/>
    <n v="3290"/>
    <x v="56"/>
    <x v="11"/>
    <x v="1134"/>
  </r>
  <r>
    <x v="1340"/>
    <x v="1326"/>
    <x v="328"/>
    <x v="180"/>
    <s v="Home&amp;Kitchen|Kitchen&amp;HomeAppliances|SewingMachines&amp;Accessories|Sewing&amp;EmbroideryMachines"/>
    <n v="1563"/>
    <n v="3098"/>
    <x v="8"/>
    <x v="12"/>
    <x v="1135"/>
  </r>
  <r>
    <x v="1341"/>
    <x v="1327"/>
    <x v="235"/>
    <x v="139"/>
    <s v="Home&amp;Kitchen|Heating,Cooling&amp;AirQuality|RoomHeaters|ElectricHeaters"/>
    <n v="3487.77"/>
    <n v="4990"/>
    <x v="76"/>
    <x v="3"/>
    <x v="1136"/>
  </r>
  <r>
    <x v="1342"/>
    <x v="1328"/>
    <x v="401"/>
    <x v="160"/>
    <s v="Home&amp;Kitchen|Kitchen&amp;HomeAppliances|SmallKitchenAppliances|MiniFoodProcessors&amp;Choppers"/>
    <n v="498"/>
    <n v="1200"/>
    <x v="53"/>
    <x v="14"/>
    <x v="1137"/>
  </r>
  <r>
    <x v="1343"/>
    <x v="1329"/>
    <x v="251"/>
    <x v="138"/>
    <s v="Home&amp;Kitchen|Kitchen&amp;HomeAppliances|SmallKitchenAppliances|Kettles&amp;HotWaterDispensers|ElectricKettles"/>
    <n v="2695"/>
    <n v="2695"/>
    <x v="26"/>
    <x v="5"/>
    <x v="1138"/>
  </r>
  <r>
    <x v="1344"/>
    <x v="1330"/>
    <x v="388"/>
    <x v="139"/>
    <s v="Home&amp;Kitchen|Heating,Cooling&amp;AirQuality|RoomHeaters|ElectricHeaters"/>
    <n v="949"/>
    <n v="2299"/>
    <x v="53"/>
    <x v="9"/>
    <x v="926"/>
  </r>
  <r>
    <x v="1345"/>
    <x v="1331"/>
    <x v="402"/>
    <x v="141"/>
    <s v="Home&amp;Kitchen|Kitchen&amp;HomeAppliances|Vacuum,Cleaning&amp;Ironing|Irons,Steamers&amp;Accessories|LintShavers"/>
    <n v="199"/>
    <n v="999"/>
    <x v="27"/>
    <x v="19"/>
    <x v="1017"/>
  </r>
  <r>
    <x v="1346"/>
    <x v="1332"/>
    <x v="403"/>
    <x v="172"/>
    <s v="Home&amp;Kitchen|Kitchen&amp;HomeAppliances|WaterPurifiers&amp;Accessories|WaterPurifierAccessories"/>
    <n v="379"/>
    <n v="919"/>
    <x v="53"/>
    <x v="1"/>
    <x v="1139"/>
  </r>
  <r>
    <x v="1347"/>
    <x v="1333"/>
    <x v="239"/>
    <x v="174"/>
    <s v="Home&amp;Kitchen|Kitchen&amp;HomeAppliances|SmallKitchenAppliances|Rice&amp;PastaCookers"/>
    <n v="2280"/>
    <n v="3045"/>
    <x v="23"/>
    <x v="3"/>
    <x v="1140"/>
  </r>
  <r>
    <x v="1348"/>
    <x v="1334"/>
    <x v="240"/>
    <x v="168"/>
    <s v="Home&amp;Kitchen|Heating,Cooling&amp;AirQuality|RoomHeaters|HeatConvectors"/>
    <n v="2219"/>
    <n v="3080"/>
    <x v="28"/>
    <x v="9"/>
    <x v="1141"/>
  </r>
  <r>
    <x v="1349"/>
    <x v="1335"/>
    <x v="244"/>
    <x v="170"/>
    <s v="Home&amp;Kitchen|Heating,Cooling&amp;AirQuality|Fans|ExhaustFans"/>
    <n v="1399"/>
    <n v="1890"/>
    <x v="55"/>
    <x v="1"/>
    <x v="1142"/>
  </r>
  <r>
    <x v="1350"/>
    <x v="1336"/>
    <x v="260"/>
    <x v="159"/>
    <s v="Home&amp;Kitchen|Kitchen&amp;HomeAppliances|SmallKitchenAppliances|SandwichMakers"/>
    <n v="2863"/>
    <n v="3690"/>
    <x v="47"/>
    <x v="4"/>
    <x v="11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2A474F-D88D-4654-8F8B-3415C1E9A7B8}" name="PivotTable2" cacheId="1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0:D35" firstHeaderRow="0" firstDataRow="1" firstDataCol="1"/>
  <pivotFields count="10">
    <pivotField compact="0" outline="0"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compact="0" outline="0" showAll="0"/>
    <pivotField axis="axisRow" compact="0" outline="0" showAll="0">
      <items count="405">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272"/>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pivotField>
    <pivotField compact="0" outline="0" showAll="0">
      <items count="208">
        <item h="1" x="18"/>
        <item h="1" x="11"/>
        <item h="1" x="102"/>
        <item x="153"/>
        <item h="1" x="175"/>
        <item h="1" x="25"/>
        <item h="1" x="16"/>
        <item h="1" x="127"/>
        <item h="1" x="84"/>
        <item h="1" x="37"/>
        <item h="1" x="23"/>
        <item h="1" x="109"/>
        <item h="1" x="36"/>
        <item h="1" x="74"/>
        <item h="1" x="70"/>
        <item h="1" x="90"/>
        <item h="1" x="32"/>
        <item h="1" x="136"/>
        <item h="1" x="40"/>
        <item h="1" x="164"/>
        <item h="1" x="96"/>
        <item h="1" x="163"/>
        <item h="1" x="143"/>
        <item h="1" x="81"/>
        <item h="1" x="201"/>
        <item h="1" x="195"/>
        <item h="1" x="103"/>
        <item h="1" x="121"/>
        <item h="1" x="76"/>
        <item h="1" x="91"/>
        <item h="1" x="49"/>
        <item h="1" x="100"/>
        <item h="1" x="131"/>
        <item h="1" x="26"/>
        <item h="1" x="33"/>
        <item h="1" x="106"/>
        <item h="1" x="187"/>
        <item h="1" x="142"/>
        <item h="1" x="161"/>
        <item h="1" x="50"/>
        <item h="1" x="82"/>
        <item h="1" x="171"/>
        <item h="1" x="146"/>
        <item h="1" x="61"/>
        <item h="1" x="13"/>
        <item h="1" x="119"/>
        <item h="1" x="158"/>
        <item h="1" x="169"/>
        <item h="1" x="139"/>
        <item h="1" x="138"/>
        <item h="1" x="188"/>
        <item h="1" x="93"/>
        <item h="1" x="170"/>
        <item h="1" x="54"/>
        <item h="1" x="89"/>
        <item h="1" x="123"/>
        <item h="1" x="140"/>
        <item h="1" x="203"/>
        <item h="1" x="78"/>
        <item h="1" x="128"/>
        <item h="1" x="135"/>
        <item h="1" x="83"/>
        <item h="1" x="117"/>
        <item h="1" x="62"/>
        <item h="1" x="51"/>
        <item h="1" x="71"/>
        <item h="1" x="45"/>
        <item h="1" x="166"/>
        <item h="1" x="145"/>
        <item h="1" x="206"/>
        <item h="1" x="157"/>
        <item h="1" x="38"/>
        <item h="1" x="182"/>
        <item h="1" x="65"/>
        <item h="1" x="2"/>
        <item h="1" x="122"/>
        <item h="1" x="168"/>
        <item h="1" x="177"/>
        <item h="1" x="191"/>
        <item h="1" x="152"/>
        <item h="1" x="144"/>
        <item h="1" x="24"/>
        <item h="1" x="60"/>
        <item h="1" x="125"/>
        <item h="1" x="120"/>
        <item h="1" x="148"/>
        <item h="1" x="112"/>
        <item h="1" x="104"/>
        <item h="1" x="156"/>
        <item h="1" x="185"/>
        <item h="1" x="150"/>
        <item h="1" x="53"/>
        <item h="1" x="48"/>
        <item h="1" x="80"/>
        <item h="1" x="46"/>
        <item h="1" x="101"/>
        <item h="1" x="107"/>
        <item h="1" x="88"/>
        <item h="1" x="179"/>
        <item h="1" x="154"/>
        <item h="1" x="141"/>
        <item h="1" x="134"/>
        <item h="1" x="66"/>
        <item h="1" x="200"/>
        <item h="1" x="94"/>
        <item h="1" x="44"/>
        <item h="1" x="22"/>
        <item h="1" x="190"/>
        <item h="1" x="160"/>
        <item h="1" x="147"/>
        <item h="1" x="79"/>
        <item h="1" x="8"/>
        <item h="1" x="64"/>
        <item h="1" x="105"/>
        <item h="1" x="67"/>
        <item h="1" x="47"/>
        <item h="1" x="126"/>
        <item h="1" x="77"/>
        <item h="1" x="39"/>
        <item h="1" x="9"/>
        <item h="1" x="28"/>
        <item h="1" x="87"/>
        <item h="1" x="184"/>
        <item h="1" x="69"/>
        <item h="1" x="132"/>
        <item h="1" x="63"/>
        <item h="1" x="116"/>
        <item h="1" x="86"/>
        <item h="1" x="108"/>
        <item h="1" x="205"/>
        <item h="1" x="43"/>
        <item h="1" x="114"/>
        <item h="1" x="41"/>
        <item h="1" x="167"/>
        <item h="1" x="20"/>
        <item h="1" x="124"/>
        <item h="1" x="165"/>
        <item h="1" x="113"/>
        <item h="1" x="10"/>
        <item h="1" x="7"/>
        <item h="1" x="73"/>
        <item h="1" x="4"/>
        <item h="1" x="58"/>
        <item h="1" x="92"/>
        <item h="1" x="174"/>
        <item h="1" x="193"/>
        <item h="1" x="149"/>
        <item h="1" x="202"/>
        <item h="1" x="68"/>
        <item h="1" x="159"/>
        <item h="1" x="115"/>
        <item h="1" x="12"/>
        <item h="1" x="57"/>
        <item h="1" x="34"/>
        <item h="1" x="97"/>
        <item h="1" x="98"/>
        <item h="1" x="30"/>
        <item h="1" x="180"/>
        <item h="1" x="42"/>
        <item h="1" x="197"/>
        <item h="1" x="186"/>
        <item h="1" x="21"/>
        <item h="1" x="3"/>
        <item h="1" x="19"/>
        <item h="1" x="118"/>
        <item h="1" x="14"/>
        <item h="1" x="196"/>
        <item h="1" x="181"/>
        <item h="1" x="5"/>
        <item h="1" x="192"/>
        <item h="1" x="204"/>
        <item h="1" x="31"/>
        <item h="1" x="155"/>
        <item h="1" x="110"/>
        <item h="1" x="151"/>
        <item h="1" x="199"/>
        <item h="1" x="15"/>
        <item h="1" x="35"/>
        <item h="1" x="129"/>
        <item h="1" x="189"/>
        <item h="1" x="56"/>
        <item h="1" x="130"/>
        <item h="1" x="52"/>
        <item h="1" x="133"/>
        <item h="1" x="17"/>
        <item h="1" x="137"/>
        <item h="1" x="59"/>
        <item h="1" x="29"/>
        <item h="1" x="6"/>
        <item h="1" x="95"/>
        <item h="1" x="0"/>
        <item h="1" x="85"/>
        <item h="1" x="75"/>
        <item h="1" x="162"/>
        <item h="1" x="55"/>
        <item h="1" x="198"/>
        <item h="1" x="27"/>
        <item h="1" x="173"/>
        <item h="1" x="178"/>
        <item h="1" x="172"/>
        <item h="1" x="99"/>
        <item h="1" x="176"/>
        <item h="1" x="183"/>
        <item h="1" x="72"/>
        <item h="1" x="1"/>
        <item h="1" x="111"/>
        <item h="1" x="194"/>
        <item t="default"/>
      </items>
    </pivotField>
    <pivotField compact="0" outline="0" showAll="0"/>
    <pivotField dataField="1" compact="0" outline="0" showAll="0"/>
    <pivotField compact="0" outline="0" showAll="0"/>
    <pivotField compact="0" numFmtId="1" outline="0" showAll="0">
      <items count="85">
        <item x="26"/>
        <item x="78"/>
        <item x="52"/>
        <item x="76"/>
        <item x="54"/>
        <item x="8"/>
        <item x="13"/>
        <item x="20"/>
        <item x="27"/>
        <item x="2"/>
        <item x="68"/>
        <item x="83"/>
        <item x="14"/>
        <item x="79"/>
        <item x="59"/>
        <item x="81"/>
        <item x="49"/>
        <item x="74"/>
        <item x="70"/>
        <item x="72"/>
        <item x="47"/>
        <item x="7"/>
        <item x="66"/>
        <item x="23"/>
        <item x="55"/>
        <item x="35"/>
        <item x="28"/>
        <item x="56"/>
        <item x="39"/>
        <item x="44"/>
        <item x="9"/>
        <item x="67"/>
        <item x="31"/>
        <item x="63"/>
        <item x="42"/>
        <item x="16"/>
        <item x="17"/>
        <item x="19"/>
        <item x="21"/>
        <item x="1"/>
        <item x="15"/>
        <item x="32"/>
        <item x="18"/>
        <item x="41"/>
        <item x="61"/>
        <item x="75"/>
        <item x="24"/>
        <item x="50"/>
        <item x="3"/>
        <item x="34"/>
        <item x="10"/>
        <item x="37"/>
        <item x="48"/>
        <item x="30"/>
        <item x="53"/>
        <item x="4"/>
        <item x="33"/>
        <item x="11"/>
        <item x="0"/>
        <item x="6"/>
        <item x="46"/>
        <item x="29"/>
        <item x="45"/>
        <item x="12"/>
        <item x="58"/>
        <item x="22"/>
        <item x="25"/>
        <item x="80"/>
        <item x="43"/>
        <item x="60"/>
        <item x="36"/>
        <item x="38"/>
        <item x="71"/>
        <item x="73"/>
        <item x="62"/>
        <item x="57"/>
        <item x="77"/>
        <item x="5"/>
        <item x="40"/>
        <item x="65"/>
        <item x="51"/>
        <item x="64"/>
        <item x="69"/>
        <item x="82"/>
        <item t="default"/>
      </items>
    </pivotField>
    <pivotField dataField="1" compact="0" outline="0"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dataField="1" compact="0" outline="0" showAll="0">
      <items count="1145">
        <item x="1017"/>
        <item x="803"/>
        <item x="133"/>
        <item x="853"/>
        <item x="222"/>
        <item x="1067"/>
        <item x="1004"/>
        <item x="886"/>
        <item x="119"/>
        <item x="964"/>
        <item x="395"/>
        <item x="1003"/>
        <item x="1119"/>
        <item x="891"/>
        <item x="637"/>
        <item x="205"/>
        <item x="121"/>
        <item x="224"/>
        <item x="157"/>
        <item x="927"/>
        <item x="944"/>
        <item x="67"/>
        <item x="95"/>
        <item x="378"/>
        <item x="1131"/>
        <item x="223"/>
        <item x="920"/>
        <item x="218"/>
        <item x="910"/>
        <item x="206"/>
        <item x="937"/>
        <item x="951"/>
        <item x="1085"/>
        <item x="125"/>
        <item x="144"/>
        <item x="984"/>
        <item x="153"/>
        <item x="1084"/>
        <item x="812"/>
        <item x="215"/>
        <item x="689"/>
        <item x="724"/>
        <item x="942"/>
        <item x="104"/>
        <item x="1108"/>
        <item x="198"/>
        <item x="226"/>
        <item x="1025"/>
        <item x="616"/>
        <item x="844"/>
        <item x="892"/>
        <item x="1095"/>
        <item x="195"/>
        <item x="364"/>
        <item x="229"/>
        <item x="999"/>
        <item x="162"/>
        <item x="821"/>
        <item x="213"/>
        <item x="1137"/>
        <item x="371"/>
        <item x="211"/>
        <item x="851"/>
        <item x="377"/>
        <item x="71"/>
        <item x="230"/>
        <item x="93"/>
        <item x="1110"/>
        <item x="246"/>
        <item x="236"/>
        <item x="1054"/>
        <item x="59"/>
        <item x="237"/>
        <item x="326"/>
        <item x="1107"/>
        <item x="1042"/>
        <item x="1130"/>
        <item x="225"/>
        <item x="995"/>
        <item x="1094"/>
        <item x="1006"/>
        <item x="241"/>
        <item x="1126"/>
        <item x="25"/>
        <item x="189"/>
        <item x="1134"/>
        <item x="158"/>
        <item x="238"/>
        <item x="991"/>
        <item x="433"/>
        <item x="60"/>
        <item x="117"/>
        <item x="1083"/>
        <item x="221"/>
        <item x="1133"/>
        <item x="196"/>
        <item x="239"/>
        <item x="1105"/>
        <item x="850"/>
        <item x="356"/>
        <item x="562"/>
        <item x="181"/>
        <item x="392"/>
        <item x="170"/>
        <item x="940"/>
        <item x="956"/>
        <item x="122"/>
        <item x="576"/>
        <item x="784"/>
        <item x="1080"/>
        <item x="234"/>
        <item x="393"/>
        <item x="201"/>
        <item x="101"/>
        <item x="109"/>
        <item x="1103"/>
        <item x="903"/>
        <item x="806"/>
        <item x="186"/>
        <item x="985"/>
        <item x="1092"/>
        <item x="247"/>
        <item x="996"/>
        <item x="386"/>
        <item x="856"/>
        <item x="135"/>
        <item x="46"/>
        <item x="934"/>
        <item x="188"/>
        <item x="1020"/>
        <item x="976"/>
        <item x="1012"/>
        <item x="156"/>
        <item x="1056"/>
        <item x="128"/>
        <item x="140"/>
        <item x="612"/>
        <item x="30"/>
        <item x="166"/>
        <item x="663"/>
        <item x="630"/>
        <item x="1036"/>
        <item x="116"/>
        <item x="583"/>
        <item x="232"/>
        <item x="1019"/>
        <item x="65"/>
        <item x="528"/>
        <item x="147"/>
        <item x="743"/>
        <item x="380"/>
        <item x="753"/>
        <item x="701"/>
        <item x="1046"/>
        <item x="73"/>
        <item x="693"/>
        <item x="180"/>
        <item x="653"/>
        <item x="865"/>
        <item x="877"/>
        <item x="55"/>
        <item x="1129"/>
        <item x="56"/>
        <item x="974"/>
        <item x="35"/>
        <item x="950"/>
        <item x="390"/>
        <item x="178"/>
        <item x="1141"/>
        <item x="179"/>
        <item x="849"/>
        <item x="171"/>
        <item x="670"/>
        <item x="142"/>
        <item x="143"/>
        <item x="41"/>
        <item x="89"/>
        <item x="202"/>
        <item x="209"/>
        <item x="1079"/>
        <item x="1115"/>
        <item x="1023"/>
        <item x="66"/>
        <item x="240"/>
        <item x="875"/>
        <item x="926"/>
        <item x="1037"/>
        <item x="1030"/>
        <item x="997"/>
        <item x="177"/>
        <item x="610"/>
        <item x="33"/>
        <item x="126"/>
        <item x="906"/>
        <item x="1049"/>
        <item x="91"/>
        <item x="96"/>
        <item x="677"/>
        <item x="361"/>
        <item x="63"/>
        <item x="808"/>
        <item x="872"/>
        <item x="1034"/>
        <item x="134"/>
        <item x="1022"/>
        <item x="1002"/>
        <item x="233"/>
        <item x="839"/>
        <item x="968"/>
        <item x="455"/>
        <item x="954"/>
        <item x="48"/>
        <item x="698"/>
        <item x="627"/>
        <item x="381"/>
        <item x="1028"/>
        <item x="409"/>
        <item x="731"/>
        <item x="1065"/>
        <item x="207"/>
        <item x="1109"/>
        <item x="388"/>
        <item x="1057"/>
        <item x="975"/>
        <item x="357"/>
        <item x="85"/>
        <item x="399"/>
        <item x="1112"/>
        <item x="1100"/>
        <item x="957"/>
        <item x="837"/>
        <item x="146"/>
        <item x="17"/>
        <item x="661"/>
        <item x="1104"/>
        <item x="358"/>
        <item x="1058"/>
        <item x="235"/>
        <item x="150"/>
        <item x="200"/>
        <item x="1116"/>
        <item x="791"/>
        <item x="68"/>
        <item x="542"/>
        <item x="172"/>
        <item x="114"/>
        <item x="980"/>
        <item x="161"/>
        <item x="977"/>
        <item x="987"/>
        <item x="29"/>
        <item x="792"/>
        <item x="534"/>
        <item x="993"/>
        <item x="212"/>
        <item x="1069"/>
        <item x="988"/>
        <item x="836"/>
        <item x="1008"/>
        <item x="686"/>
        <item x="216"/>
        <item x="588"/>
        <item x="866"/>
        <item x="88"/>
        <item x="79"/>
        <item x="828"/>
        <item x="1086"/>
        <item x="1060"/>
        <item x="917"/>
        <item x="782"/>
        <item x="31"/>
        <item x="76"/>
        <item x="1075"/>
        <item x="526"/>
        <item x="1139"/>
        <item x="704"/>
        <item x="77"/>
        <item x="1039"/>
        <item x="1118"/>
        <item x="885"/>
        <item x="92"/>
        <item x="1136"/>
        <item x="167"/>
        <item x="783"/>
        <item x="560"/>
        <item x="1071"/>
        <item x="898"/>
        <item x="127"/>
        <item x="1117"/>
        <item x="591"/>
        <item x="184"/>
        <item x="164"/>
        <item x="863"/>
        <item x="97"/>
        <item x="100"/>
        <item x="666"/>
        <item x="811"/>
        <item x="890"/>
        <item x="1066"/>
        <item x="52"/>
        <item x="306"/>
        <item x="185"/>
        <item x="928"/>
        <item x="694"/>
        <item x="106"/>
        <item x="1123"/>
        <item x="112"/>
        <item x="963"/>
        <item x="297"/>
        <item x="946"/>
        <item x="1097"/>
        <item x="64"/>
        <item x="1063"/>
        <item x="243"/>
        <item x="1062"/>
        <item x="751"/>
        <item x="966"/>
        <item x="363"/>
        <item x="897"/>
        <item x="168"/>
        <item x="228"/>
        <item x="401"/>
        <item x="1124"/>
        <item x="564"/>
        <item x="527"/>
        <item x="754"/>
        <item x="217"/>
        <item x="845"/>
        <item x="880"/>
        <item x="82"/>
        <item x="422"/>
        <item x="129"/>
        <item x="373"/>
        <item x="1059"/>
        <item x="870"/>
        <item x="208"/>
        <item x="881"/>
        <item x="613"/>
        <item x="735"/>
        <item x="1081"/>
        <item x="718"/>
        <item x="930"/>
        <item x="281"/>
        <item x="550"/>
        <item x="220"/>
        <item x="829"/>
        <item x="90"/>
        <item x="938"/>
        <item x="948"/>
        <item x="818"/>
        <item x="893"/>
        <item x="823"/>
        <item x="1090"/>
        <item x="319"/>
        <item x="472"/>
        <item x="62"/>
        <item x="300"/>
        <item x="191"/>
        <item x="385"/>
        <item x="955"/>
        <item x="913"/>
        <item x="1074"/>
        <item x="1128"/>
        <item x="638"/>
        <item x="1072"/>
        <item x="832"/>
        <item x="1044"/>
        <item x="249"/>
        <item x="654"/>
        <item x="744"/>
        <item x="592"/>
        <item x="28"/>
        <item x="341"/>
        <item x="94"/>
        <item x="986"/>
        <item x="960"/>
        <item x="75"/>
        <item x="554"/>
        <item x="1031"/>
        <item x="912"/>
        <item x="503"/>
        <item x="958"/>
        <item x="760"/>
        <item x="687"/>
        <item x="481"/>
        <item x="750"/>
        <item x="922"/>
        <item x="949"/>
        <item x="190"/>
        <item x="573"/>
        <item x="929"/>
        <item x="360"/>
        <item x="825"/>
        <item x="227"/>
        <item x="344"/>
        <item x="914"/>
        <item x="50"/>
        <item x="904"/>
        <item x="155"/>
        <item x="11"/>
        <item x="321"/>
        <item x="645"/>
        <item x="1055"/>
        <item x="1135"/>
        <item x="692"/>
        <item x="1038"/>
        <item x="972"/>
        <item x="990"/>
        <item x="729"/>
        <item x="1048"/>
        <item x="1068"/>
        <item x="342"/>
        <item x="387"/>
        <item x="741"/>
        <item x="1087"/>
        <item x="148"/>
        <item x="800"/>
        <item x="971"/>
        <item x="626"/>
        <item x="362"/>
        <item x="641"/>
        <item x="842"/>
        <item x="609"/>
        <item x="705"/>
        <item x="748"/>
        <item x="1138"/>
        <item x="611"/>
        <item x="730"/>
        <item x="1113"/>
        <item x="1088"/>
        <item x="87"/>
        <item x="725"/>
        <item x="1078"/>
        <item x="983"/>
        <item x="764"/>
        <item x="679"/>
        <item x="656"/>
        <item x="149"/>
        <item x="333"/>
        <item x="132"/>
        <item x="1127"/>
        <item x="108"/>
        <item x="1125"/>
        <item x="57"/>
        <item x="795"/>
        <item x="923"/>
        <item x="732"/>
        <item x="1111"/>
        <item x="24"/>
        <item x="858"/>
        <item x="553"/>
        <item x="84"/>
        <item x="558"/>
        <item x="947"/>
        <item x="896"/>
        <item x="546"/>
        <item x="697"/>
        <item x="939"/>
        <item x="722"/>
        <item x="799"/>
        <item x="182"/>
        <item x="740"/>
        <item x="244"/>
        <item x="136"/>
        <item x="47"/>
        <item x="774"/>
        <item x="841"/>
        <item x="214"/>
        <item x="683"/>
        <item x="655"/>
        <item x="889"/>
        <item x="470"/>
        <item x="231"/>
        <item x="644"/>
        <item x="1007"/>
        <item x="480"/>
        <item x="367"/>
        <item x="541"/>
        <item x="802"/>
        <item x="335"/>
        <item x="397"/>
        <item x="900"/>
        <item x="568"/>
        <item x="1121"/>
        <item x="1052"/>
        <item x="347"/>
        <item x="536"/>
        <item x="667"/>
        <item x="152"/>
        <item x="810"/>
        <item x="330"/>
        <item x="895"/>
        <item x="1053"/>
        <item x="1050"/>
        <item x="103"/>
        <item x="204"/>
        <item x="721"/>
        <item x="835"/>
        <item x="436"/>
        <item x="291"/>
        <item x="459"/>
        <item x="615"/>
        <item x="530"/>
        <item x="733"/>
        <item x="352"/>
        <item x="517"/>
        <item x="245"/>
        <item x="1106"/>
        <item x="1021"/>
        <item x="699"/>
        <item x="794"/>
        <item x="969"/>
        <item x="123"/>
        <item x="759"/>
        <item x="1043"/>
        <item x="86"/>
        <item x="662"/>
        <item x="311"/>
        <item x="747"/>
        <item x="967"/>
        <item x="107"/>
        <item x="676"/>
        <item x="847"/>
        <item x="1098"/>
        <item x="1032"/>
        <item x="545"/>
        <item x="978"/>
        <item x="908"/>
        <item x="953"/>
        <item x="902"/>
        <item x="1093"/>
        <item x="1009"/>
        <item x="989"/>
        <item x="45"/>
        <item x="485"/>
        <item x="1077"/>
        <item x="899"/>
        <item x="1096"/>
        <item x="633"/>
        <item x="1140"/>
        <item x="80"/>
        <item x="688"/>
        <item x="943"/>
        <item x="1064"/>
        <item x="707"/>
        <item x="1091"/>
        <item x="647"/>
        <item x="857"/>
        <item x="854"/>
        <item x="192"/>
        <item x="620"/>
        <item x="887"/>
        <item x="981"/>
        <item x="848"/>
        <item x="296"/>
        <item x="1033"/>
        <item x="327"/>
        <item x="491"/>
        <item x="635"/>
        <item x="668"/>
        <item x="492"/>
        <item x="1013"/>
        <item x="945"/>
        <item x="878"/>
        <item x="665"/>
        <item x="118"/>
        <item x="921"/>
        <item x="379"/>
        <item x="197"/>
        <item x="21"/>
        <item x="994"/>
        <item x="736"/>
        <item x="570"/>
        <item x="374"/>
        <item x="499"/>
        <item x="12"/>
        <item x="745"/>
        <item x="768"/>
        <item x="1014"/>
        <item x="497"/>
        <item x="918"/>
        <item x="793"/>
        <item x="742"/>
        <item x="749"/>
        <item x="325"/>
        <item x="400"/>
        <item x="911"/>
        <item x="623"/>
        <item x="624"/>
        <item x="1041"/>
        <item x="726"/>
        <item x="1001"/>
        <item x="1047"/>
        <item x="477"/>
        <item x="941"/>
        <item x="278"/>
        <item x="691"/>
        <item x="1018"/>
        <item x="876"/>
        <item x="1015"/>
        <item x="834"/>
        <item x="788"/>
        <item x="138"/>
        <item x="113"/>
        <item x="720"/>
        <item x="649"/>
        <item x="173"/>
        <item x="636"/>
        <item x="549"/>
        <item x="519"/>
        <item x="684"/>
        <item x="444"/>
        <item x="429"/>
        <item x="629"/>
        <item x="916"/>
        <item x="1122"/>
        <item x="651"/>
        <item x="1099"/>
        <item x="959"/>
        <item x="187"/>
        <item x="504"/>
        <item x="1089"/>
        <item x="727"/>
        <item x="307"/>
        <item x="973"/>
        <item x="1035"/>
        <item x="111"/>
        <item x="329"/>
        <item x="700"/>
        <item x="734"/>
        <item x="658"/>
        <item x="124"/>
        <item x="595"/>
        <item x="203"/>
        <item x="868"/>
        <item x="778"/>
        <item x="1070"/>
        <item x="561"/>
        <item x="383"/>
        <item x="772"/>
        <item x="1132"/>
        <item x="515"/>
        <item x="81"/>
        <item x="1073"/>
        <item x="130"/>
        <item x="74"/>
        <item x="365"/>
        <item x="604"/>
        <item x="137"/>
        <item x="590"/>
        <item x="163"/>
        <item x="1102"/>
        <item x="1143"/>
        <item x="49"/>
        <item x="51"/>
        <item x="552"/>
        <item x="1027"/>
        <item x="351"/>
        <item x="449"/>
        <item x="457"/>
        <item x="301"/>
        <item x="1011"/>
        <item x="952"/>
        <item x="523"/>
        <item x="1005"/>
        <item x="34"/>
        <item x="702"/>
        <item x="145"/>
        <item x="746"/>
        <item x="614"/>
        <item x="407"/>
        <item x="598"/>
        <item x="286"/>
        <item x="345"/>
        <item x="646"/>
        <item x="982"/>
        <item x="169"/>
        <item x="933"/>
        <item x="719"/>
        <item x="61"/>
        <item x="539"/>
        <item x="323"/>
        <item x="1016"/>
        <item x="1114"/>
        <item x="254"/>
        <item x="2"/>
        <item x="1082"/>
        <item x="817"/>
        <item x="843"/>
        <item x="1061"/>
        <item x="979"/>
        <item x="1142"/>
        <item x="557"/>
        <item x="605"/>
        <item x="786"/>
        <item x="998"/>
        <item x="40"/>
        <item x="44"/>
        <item x="463"/>
        <item x="715"/>
        <item x="154"/>
        <item x="551"/>
        <item x="366"/>
        <item x="376"/>
        <item x="770"/>
        <item x="883"/>
        <item x="625"/>
        <item x="672"/>
        <item x="160"/>
        <item x="293"/>
        <item x="525"/>
        <item x="478"/>
        <item x="484"/>
        <item x="584"/>
        <item x="194"/>
        <item x="418"/>
        <item x="375"/>
        <item x="932"/>
        <item x="267"/>
        <item x="619"/>
        <item x="1010"/>
        <item x="961"/>
        <item x="924"/>
        <item x="632"/>
        <item x="587"/>
        <item x="453"/>
        <item x="907"/>
        <item x="398"/>
        <item x="496"/>
        <item x="905"/>
        <item x="336"/>
        <item x="20"/>
        <item x="529"/>
        <item x="728"/>
        <item x="318"/>
        <item x="440"/>
        <item x="468"/>
        <item x="901"/>
        <item x="822"/>
        <item x="680"/>
        <item x="1076"/>
        <item x="935"/>
        <item x="798"/>
        <item x="39"/>
        <item x="538"/>
        <item x="628"/>
        <item x="72"/>
        <item x="664"/>
        <item x="602"/>
        <item x="384"/>
        <item x="925"/>
        <item x="992"/>
        <item x="833"/>
        <item x="1120"/>
        <item x="652"/>
        <item x="120"/>
        <item x="659"/>
        <item x="70"/>
        <item x="622"/>
        <item x="257"/>
        <item x="657"/>
        <item x="682"/>
        <item x="660"/>
        <item x="712"/>
        <item x="710"/>
        <item x="372"/>
        <item x="859"/>
        <item x="139"/>
        <item x="18"/>
        <item x="643"/>
        <item x="1051"/>
        <item x="618"/>
        <item x="487"/>
        <item x="299"/>
        <item x="579"/>
        <item x="709"/>
        <item x="970"/>
        <item x="884"/>
        <item x="1029"/>
        <item x="601"/>
        <item x="919"/>
        <item x="574"/>
        <item x="310"/>
        <item x="909"/>
        <item x="824"/>
        <item x="486"/>
        <item x="464"/>
        <item x="437"/>
        <item x="862"/>
        <item x="773"/>
        <item x="1040"/>
        <item x="1026"/>
        <item x="16"/>
        <item x="183"/>
        <item x="38"/>
        <item x="22"/>
        <item x="461"/>
        <item x="678"/>
        <item x="650"/>
        <item x="500"/>
        <item x="706"/>
        <item x="262"/>
        <item x="99"/>
        <item x="931"/>
        <item x="462"/>
        <item x="634"/>
        <item x="855"/>
        <item x="805"/>
        <item x="15"/>
        <item x="673"/>
        <item x="83"/>
        <item x="915"/>
        <item x="869"/>
        <item x="695"/>
        <item x="282"/>
        <item x="860"/>
        <item x="962"/>
        <item x="757"/>
        <item x="9"/>
        <item x="873"/>
        <item x="642"/>
        <item x="32"/>
        <item x="458"/>
        <item x="738"/>
        <item x="493"/>
        <item x="250"/>
        <item x="711"/>
        <item x="608"/>
        <item x="777"/>
        <item x="819"/>
        <item x="769"/>
        <item x="1101"/>
        <item x="174"/>
        <item x="276"/>
        <item x="716"/>
        <item x="368"/>
        <item x="263"/>
        <item x="419"/>
        <item x="888"/>
        <item x="796"/>
        <item x="567"/>
        <item x="816"/>
        <item x="708"/>
        <item x="309"/>
        <item x="396"/>
        <item x="563"/>
        <item x="283"/>
        <item x="852"/>
        <item x="430"/>
        <item x="219"/>
        <item x="879"/>
        <item x="452"/>
        <item x="532"/>
        <item x="565"/>
        <item x="894"/>
        <item x="494"/>
        <item x="6"/>
        <item x="304"/>
        <item x="450"/>
        <item x="1045"/>
        <item x="840"/>
        <item x="438"/>
        <item x="1000"/>
        <item x="807"/>
        <item x="767"/>
        <item x="820"/>
        <item x="556"/>
        <item x="531"/>
        <item x="681"/>
        <item x="265"/>
        <item x="965"/>
        <item x="714"/>
        <item x="814"/>
        <item x="739"/>
        <item x="19"/>
        <item x="338"/>
        <item x="674"/>
        <item x="314"/>
        <item x="4"/>
        <item x="324"/>
        <item x="277"/>
        <item x="394"/>
        <item x="432"/>
        <item x="790"/>
        <item x="1024"/>
        <item x="507"/>
        <item x="586"/>
        <item x="603"/>
        <item x="255"/>
        <item x="831"/>
        <item x="501"/>
        <item x="252"/>
        <item x="322"/>
        <item x="871"/>
        <item x="456"/>
        <item x="298"/>
        <item x="582"/>
        <item x="838"/>
        <item x="936"/>
        <item x="758"/>
        <item x="346"/>
        <item x="606"/>
        <item x="303"/>
        <item x="13"/>
        <item x="165"/>
        <item x="271"/>
        <item x="280"/>
        <item x="343"/>
        <item x="826"/>
        <item x="535"/>
        <item x="248"/>
        <item x="827"/>
        <item x="389"/>
        <item x="58"/>
        <item x="578"/>
        <item x="289"/>
        <item x="597"/>
        <item x="572"/>
        <item x="524"/>
        <item x="717"/>
        <item x="26"/>
        <item x="864"/>
        <item x="332"/>
        <item x="498"/>
        <item x="516"/>
        <item x="176"/>
        <item x="273"/>
        <item x="447"/>
        <item x="639"/>
        <item x="413"/>
        <item x="776"/>
        <item x="259"/>
        <item x="416"/>
        <item x="339"/>
        <item x="270"/>
        <item x="640"/>
        <item x="78"/>
        <item x="596"/>
        <item x="269"/>
        <item x="359"/>
        <item x="737"/>
        <item x="489"/>
        <item x="131"/>
        <item x="577"/>
        <item x="771"/>
        <item x="775"/>
        <item x="780"/>
        <item x="0"/>
        <item x="274"/>
        <item x="509"/>
        <item x="43"/>
        <item x="412"/>
        <item x="294"/>
        <item x="5"/>
        <item x="593"/>
        <item x="175"/>
        <item x="755"/>
        <item x="801"/>
        <item x="520"/>
        <item x="580"/>
        <item x="543"/>
        <item x="285"/>
        <item x="569"/>
        <item x="474"/>
        <item x="559"/>
        <item x="713"/>
        <item x="813"/>
        <item x="555"/>
        <item x="599"/>
        <item x="846"/>
        <item x="473"/>
        <item x="316"/>
        <item x="348"/>
        <item x="439"/>
        <item x="37"/>
        <item x="513"/>
        <item x="547"/>
        <item x="575"/>
        <item x="242"/>
        <item x="251"/>
        <item x="354"/>
        <item x="404"/>
        <item x="391"/>
        <item x="428"/>
        <item x="454"/>
        <item x="882"/>
        <item x="98"/>
        <item x="69"/>
        <item x="424"/>
        <item x="334"/>
        <item x="272"/>
        <item x="340"/>
        <item x="425"/>
        <item x="53"/>
        <item x="115"/>
        <item x="441"/>
        <item x="268"/>
        <item x="696"/>
        <item x="7"/>
        <item x="537"/>
        <item x="315"/>
        <item x="600"/>
        <item x="787"/>
        <item x="514"/>
        <item x="328"/>
        <item x="607"/>
        <item x="763"/>
        <item x="350"/>
        <item x="312"/>
        <item x="14"/>
        <item x="284"/>
        <item x="830"/>
        <item x="426"/>
        <item x="594"/>
        <item x="471"/>
        <item x="434"/>
        <item x="469"/>
        <item x="193"/>
        <item x="482"/>
        <item x="23"/>
        <item x="465"/>
        <item x="815"/>
        <item x="199"/>
        <item x="785"/>
        <item x="382"/>
        <item x="867"/>
        <item x="287"/>
        <item x="789"/>
        <item x="505"/>
        <item x="369"/>
        <item x="797"/>
        <item x="804"/>
        <item x="617"/>
        <item x="581"/>
        <item x="781"/>
        <item x="690"/>
        <item x="533"/>
        <item x="105"/>
        <item x="295"/>
        <item x="648"/>
        <item x="861"/>
        <item x="279"/>
        <item x="1"/>
        <item x="779"/>
        <item x="151"/>
        <item x="671"/>
        <item x="761"/>
        <item x="703"/>
        <item x="54"/>
        <item x="266"/>
        <item x="809"/>
        <item x="512"/>
        <item x="476"/>
        <item x="305"/>
        <item x="445"/>
        <item x="589"/>
        <item x="308"/>
        <item x="435"/>
        <item x="475"/>
        <item x="502"/>
        <item x="874"/>
        <item x="766"/>
        <item x="421"/>
        <item x="521"/>
        <item x="466"/>
        <item x="451"/>
        <item x="349"/>
        <item x="261"/>
        <item x="320"/>
        <item x="479"/>
        <item x="406"/>
        <item x="765"/>
        <item x="518"/>
        <item x="420"/>
        <item x="506"/>
        <item x="256"/>
        <item x="353"/>
        <item x="410"/>
        <item x="317"/>
        <item x="490"/>
        <item x="540"/>
        <item x="427"/>
        <item x="102"/>
        <item x="566"/>
        <item x="442"/>
        <item x="290"/>
        <item x="685"/>
        <item x="571"/>
        <item x="27"/>
        <item x="159"/>
        <item x="669"/>
        <item x="423"/>
        <item x="548"/>
        <item x="302"/>
        <item x="508"/>
        <item x="752"/>
        <item x="431"/>
        <item x="355"/>
        <item x="42"/>
        <item x="585"/>
        <item x="417"/>
        <item x="511"/>
        <item x="3"/>
        <item x="288"/>
        <item x="488"/>
        <item x="675"/>
        <item x="370"/>
        <item x="723"/>
        <item x="460"/>
        <item x="415"/>
        <item x="621"/>
        <item x="36"/>
        <item x="443"/>
        <item x="467"/>
        <item x="522"/>
        <item x="756"/>
        <item x="258"/>
        <item x="403"/>
        <item x="448"/>
        <item x="292"/>
        <item x="411"/>
        <item x="495"/>
        <item x="446"/>
        <item x="313"/>
        <item x="141"/>
        <item x="253"/>
        <item x="8"/>
        <item x="110"/>
        <item x="408"/>
        <item x="510"/>
        <item x="414"/>
        <item x="337"/>
        <item x="260"/>
        <item x="631"/>
        <item x="405"/>
        <item x="762"/>
        <item x="544"/>
        <item x="331"/>
        <item x="275"/>
        <item x="402"/>
        <item x="264"/>
        <item x="483"/>
        <item x="10"/>
        <item x="210"/>
        <item t="default"/>
      </items>
    </pivotField>
  </pivotFields>
  <rowFields count="1">
    <field x="2"/>
  </rowFields>
  <rowItems count="5">
    <i>
      <x v="157"/>
    </i>
    <i>
      <x v="163"/>
    </i>
    <i>
      <x v="257"/>
    </i>
    <i>
      <x v="260"/>
    </i>
    <i t="grand">
      <x/>
    </i>
  </rowItems>
  <colFields count="1">
    <field x="-2"/>
  </colFields>
  <colItems count="3">
    <i>
      <x/>
    </i>
    <i i="1">
      <x v="1"/>
    </i>
    <i i="2">
      <x v="2"/>
    </i>
  </colItems>
  <dataFields count="3">
    <dataField name="Sum of rating_count" fld="9" baseField="0" baseItem="0"/>
    <dataField name="Average of discounted_price" fld="5" subtotal="average" baseField="0" baseItem="0" numFmtId="1"/>
    <dataField name="Average of rating" fld="8" subtotal="average" baseField="0" baseItem="0" numFmtId="1"/>
  </dataFields>
  <formats count="3">
    <format dxfId="8">
      <pivotArea outline="0" fieldPosition="0">
        <references count="1">
          <reference field="4294967294" count="1" selected="0">
            <x v="2"/>
          </reference>
        </references>
      </pivotArea>
    </format>
    <format dxfId="9">
      <pivotArea outline="0" fieldPosition="0">
        <references count="1">
          <reference field="4294967294" count="1" selected="0">
            <x v="1"/>
          </reference>
        </references>
      </pivotArea>
    </format>
    <format dxfId="10">
      <pivotArea outline="0" fieldPosition="0">
        <references count="1">
          <reference field="4294967294" count="1" selected="0">
            <x v="1"/>
          </reference>
        </references>
      </pivotArea>
    </format>
  </formats>
  <chartFormats count="22">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1"/>
          </reference>
        </references>
      </pivotArea>
    </chartFormat>
    <chartFormat chart="5" format="17" series="1">
      <pivotArea type="data" outline="0" fieldPosition="0">
        <references count="1">
          <reference field="4294967294" count="1" selected="0">
            <x v="2"/>
          </reference>
        </references>
      </pivotArea>
    </chartFormat>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2"/>
          </reference>
        </references>
      </pivotArea>
    </chartFormat>
    <chartFormat chart="7" format="21"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1"/>
          </reference>
        </references>
      </pivotArea>
    </chartFormat>
    <chartFormat chart="7" format="23" series="1">
      <pivotArea type="data" outline="0" fieldPosition="0">
        <references count="1">
          <reference field="4294967294" count="1" selected="0">
            <x v="2"/>
          </reference>
        </references>
      </pivotArea>
    </chartFormat>
    <chartFormat chart="8" format="24" series="1">
      <pivotArea type="data" outline="0" fieldPosition="0">
        <references count="1">
          <reference field="4294967294" count="1" selected="0">
            <x v="0"/>
          </reference>
        </references>
      </pivotArea>
    </chartFormat>
    <chartFormat chart="8" format="25" series="1">
      <pivotArea type="data" outline="0" fieldPosition="0">
        <references count="1">
          <reference field="4294967294" count="1" selected="0">
            <x v="1"/>
          </reference>
        </references>
      </pivotArea>
    </chartFormat>
    <chartFormat chart="8" format="26" series="1">
      <pivotArea type="data" outline="0" fieldPosition="0">
        <references count="1">
          <reference field="4294967294" count="1" selected="0">
            <x v="2"/>
          </reference>
        </references>
      </pivotArea>
    </chartFormat>
    <chartFormat chart="8" format="27">
      <pivotArea type="data" outline="0" fieldPosition="0">
        <references count="2">
          <reference field="4294967294" count="1" selected="0">
            <x v="1"/>
          </reference>
          <reference field="2" count="1" selected="0">
            <x v="26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7F9B45-6A62-4F66-B022-69396D98366F}" name="PivotTable3" cacheId="1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C5" firstHeaderRow="0" firstDataRow="1" firstDataCol="1"/>
  <pivotFields count="10">
    <pivotField compact="0" outline="0" showAll="0"/>
    <pivotField compact="0" outline="0" showAll="0"/>
    <pivotField compact="0" outline="0" showAll="0">
      <items count="405">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272"/>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pivotField>
    <pivotField axis="axisRow" compact="0" outline="0" showAll="0">
      <items count="208">
        <item h="1" x="18"/>
        <item h="1" x="11"/>
        <item h="1" x="102"/>
        <item x="153"/>
        <item h="1" x="175"/>
        <item h="1" x="25"/>
        <item h="1" x="16"/>
        <item h="1" x="127"/>
        <item h="1" x="84"/>
        <item h="1" x="37"/>
        <item h="1" x="23"/>
        <item h="1" x="109"/>
        <item h="1" x="36"/>
        <item h="1" x="74"/>
        <item h="1" x="70"/>
        <item h="1" x="90"/>
        <item h="1" x="32"/>
        <item h="1" x="136"/>
        <item h="1" x="40"/>
        <item h="1" x="164"/>
        <item h="1" x="96"/>
        <item h="1" x="163"/>
        <item h="1" x="143"/>
        <item h="1" x="81"/>
        <item h="1" x="201"/>
        <item h="1" x="195"/>
        <item h="1" x="103"/>
        <item h="1" x="121"/>
        <item h="1" x="76"/>
        <item h="1" x="91"/>
        <item h="1" x="49"/>
        <item h="1" x="100"/>
        <item h="1" x="131"/>
        <item h="1" x="26"/>
        <item h="1" x="33"/>
        <item h="1" x="106"/>
        <item h="1" x="187"/>
        <item h="1" x="142"/>
        <item h="1" x="161"/>
        <item h="1" x="50"/>
        <item h="1" x="82"/>
        <item h="1" x="171"/>
        <item h="1" x="146"/>
        <item h="1" x="61"/>
        <item h="1" x="13"/>
        <item h="1" x="119"/>
        <item h="1" x="158"/>
        <item h="1" x="169"/>
        <item h="1" x="139"/>
        <item h="1" x="138"/>
        <item h="1" x="188"/>
        <item h="1" x="93"/>
        <item h="1" x="170"/>
        <item h="1" x="54"/>
        <item h="1" x="89"/>
        <item h="1" x="123"/>
        <item h="1" x="140"/>
        <item h="1" x="203"/>
        <item h="1" x="78"/>
        <item h="1" x="128"/>
        <item h="1" x="135"/>
        <item h="1" x="83"/>
        <item h="1" x="117"/>
        <item h="1" x="62"/>
        <item h="1" x="51"/>
        <item h="1" x="71"/>
        <item h="1" x="45"/>
        <item h="1" x="166"/>
        <item h="1" x="145"/>
        <item h="1" x="206"/>
        <item h="1" x="157"/>
        <item h="1" x="38"/>
        <item h="1" x="182"/>
        <item h="1" x="65"/>
        <item h="1" x="2"/>
        <item h="1" x="122"/>
        <item h="1" x="168"/>
        <item h="1" x="177"/>
        <item h="1" x="191"/>
        <item h="1" x="152"/>
        <item h="1" x="144"/>
        <item h="1" x="24"/>
        <item h="1" x="60"/>
        <item h="1" x="125"/>
        <item h="1" x="120"/>
        <item h="1" x="148"/>
        <item h="1" x="112"/>
        <item h="1" x="104"/>
        <item h="1" x="156"/>
        <item h="1" x="185"/>
        <item h="1" x="150"/>
        <item h="1" x="53"/>
        <item h="1" x="48"/>
        <item h="1" x="80"/>
        <item h="1" x="46"/>
        <item h="1" x="101"/>
        <item h="1" x="107"/>
        <item h="1" x="88"/>
        <item h="1" x="179"/>
        <item h="1" x="154"/>
        <item h="1" x="141"/>
        <item h="1" x="134"/>
        <item h="1" x="66"/>
        <item h="1" x="200"/>
        <item h="1" x="94"/>
        <item h="1" x="44"/>
        <item h="1" x="22"/>
        <item h="1" x="190"/>
        <item h="1" x="160"/>
        <item h="1" x="147"/>
        <item h="1" x="79"/>
        <item h="1" x="8"/>
        <item h="1" x="64"/>
        <item h="1" x="105"/>
        <item h="1" x="67"/>
        <item h="1" x="47"/>
        <item h="1" x="126"/>
        <item h="1" x="77"/>
        <item h="1" x="39"/>
        <item h="1" x="9"/>
        <item h="1" x="28"/>
        <item h="1" x="87"/>
        <item h="1" x="184"/>
        <item h="1" x="69"/>
        <item h="1" x="132"/>
        <item h="1" x="63"/>
        <item h="1" x="116"/>
        <item h="1" x="86"/>
        <item h="1" x="108"/>
        <item h="1" x="205"/>
        <item h="1" x="43"/>
        <item h="1" x="114"/>
        <item h="1" x="41"/>
        <item h="1" x="167"/>
        <item h="1" x="20"/>
        <item h="1" x="124"/>
        <item h="1" x="165"/>
        <item h="1" x="113"/>
        <item h="1" x="10"/>
        <item h="1" x="7"/>
        <item h="1" x="73"/>
        <item h="1" x="4"/>
        <item h="1" x="58"/>
        <item h="1" x="92"/>
        <item h="1" x="174"/>
        <item h="1" x="193"/>
        <item h="1" x="149"/>
        <item h="1" x="202"/>
        <item h="1" x="68"/>
        <item h="1" x="159"/>
        <item h="1" x="115"/>
        <item h="1" x="12"/>
        <item h="1" x="57"/>
        <item h="1" x="34"/>
        <item h="1" x="97"/>
        <item h="1" x="98"/>
        <item h="1" x="30"/>
        <item h="1" x="180"/>
        <item h="1" x="42"/>
        <item h="1" x="197"/>
        <item h="1" x="186"/>
        <item h="1" x="21"/>
        <item h="1" x="3"/>
        <item h="1" x="19"/>
        <item h="1" x="118"/>
        <item h="1" x="14"/>
        <item h="1" x="196"/>
        <item h="1" x="181"/>
        <item h="1" x="5"/>
        <item h="1" x="192"/>
        <item h="1" x="204"/>
        <item h="1" x="31"/>
        <item h="1" x="155"/>
        <item h="1" x="110"/>
        <item h="1" x="151"/>
        <item h="1" x="199"/>
        <item h="1" x="15"/>
        <item h="1" x="35"/>
        <item h="1" x="129"/>
        <item h="1" x="189"/>
        <item h="1" x="56"/>
        <item h="1" x="130"/>
        <item h="1" x="52"/>
        <item h="1" x="133"/>
        <item h="1" x="17"/>
        <item h="1" x="137"/>
        <item h="1" x="59"/>
        <item h="1" x="29"/>
        <item h="1" x="6"/>
        <item h="1" x="95"/>
        <item h="1" x="0"/>
        <item h="1" x="85"/>
        <item h="1" x="75"/>
        <item h="1" x="162"/>
        <item h="1" x="55"/>
        <item h="1" x="198"/>
        <item h="1" x="27"/>
        <item h="1" x="173"/>
        <item h="1" x="178"/>
        <item h="1" x="172"/>
        <item h="1" x="99"/>
        <item h="1" x="176"/>
        <item h="1" x="183"/>
        <item h="1" x="72"/>
        <item h="1" x="1"/>
        <item h="1" x="111"/>
        <item h="1" x="194"/>
        <item t="default"/>
      </items>
    </pivotField>
    <pivotField compact="0" outline="0" showAll="0"/>
    <pivotField compact="0" outline="0" showAll="0"/>
    <pivotField compact="0" outline="0" showAll="0"/>
    <pivotField dataField="1" compact="0" numFmtId="1" outline="0" showAll="0"/>
    <pivotField compact="0" outline="0" showAll="0"/>
    <pivotField dataField="1" compact="0" outline="0" showAll="0"/>
  </pivotFields>
  <rowFields count="1">
    <field x="3"/>
  </rowFields>
  <rowItems count="2">
    <i>
      <x v="3"/>
    </i>
    <i t="grand">
      <x/>
    </i>
  </rowItems>
  <colFields count="1">
    <field x="-2"/>
  </colFields>
  <colItems count="2">
    <i>
      <x/>
    </i>
    <i i="1">
      <x v="1"/>
    </i>
  </colItems>
  <dataFields count="2">
    <dataField name="Sum of rating_count" fld="9" baseField="0" baseItem="0"/>
    <dataField name="Average of discount_percentage" fld="7" subtotal="average" baseField="0" baseItem="0" numFmtId="1"/>
  </dataFields>
  <chartFormats count="1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5207D6-0B3A-4E15-A99A-E1A6A311D6BF}" name="PivotTable4" cacheId="1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8" firstHeaderRow="1" firstDataRow="1" firstDataCol="1"/>
  <pivotFields count="10">
    <pivotField compact="0" outline="0" showAll="0"/>
    <pivotField compact="0" outline="0"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324"/>
        <item x="290"/>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compact="0" outline="0" showAll="0" sortType="descending">
      <items count="405">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272"/>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autoSortScope>
        <pivotArea dataOnly="0" outline="0" fieldPosition="0">
          <references count="1">
            <reference field="4294967294" count="1" selected="0">
              <x v="0"/>
            </reference>
          </references>
        </pivotArea>
      </autoSortScope>
    </pivotField>
    <pivotField compact="0" outline="0" showAll="0">
      <items count="208">
        <item h="1" x="18"/>
        <item h="1" x="11"/>
        <item h="1" x="102"/>
        <item x="153"/>
        <item h="1" x="175"/>
        <item h="1" x="25"/>
        <item h="1" x="16"/>
        <item h="1" x="127"/>
        <item h="1" x="84"/>
        <item h="1" x="37"/>
        <item h="1" x="23"/>
        <item h="1" x="109"/>
        <item h="1" x="36"/>
        <item h="1" x="74"/>
        <item h="1" x="70"/>
        <item h="1" x="90"/>
        <item h="1" x="32"/>
        <item h="1" x="136"/>
        <item h="1" x="40"/>
        <item h="1" x="164"/>
        <item h="1" x="96"/>
        <item h="1" x="163"/>
        <item h="1" x="143"/>
        <item h="1" x="81"/>
        <item h="1" x="201"/>
        <item h="1" x="195"/>
        <item h="1" x="103"/>
        <item h="1" x="121"/>
        <item h="1" x="76"/>
        <item h="1" x="91"/>
        <item h="1" x="49"/>
        <item h="1" x="100"/>
        <item h="1" x="131"/>
        <item h="1" x="26"/>
        <item h="1" x="33"/>
        <item h="1" x="106"/>
        <item h="1" x="187"/>
        <item h="1" x="142"/>
        <item h="1" x="161"/>
        <item h="1" x="50"/>
        <item h="1" x="82"/>
        <item h="1" x="171"/>
        <item h="1" x="146"/>
        <item h="1" x="61"/>
        <item h="1" x="13"/>
        <item h="1" x="119"/>
        <item h="1" x="158"/>
        <item h="1" x="169"/>
        <item h="1" x="139"/>
        <item h="1" x="138"/>
        <item h="1" x="188"/>
        <item h="1" x="93"/>
        <item h="1" x="170"/>
        <item h="1" x="54"/>
        <item h="1" x="89"/>
        <item h="1" x="123"/>
        <item h="1" x="140"/>
        <item h="1" x="203"/>
        <item h="1" x="78"/>
        <item h="1" x="128"/>
        <item h="1" x="135"/>
        <item h="1" x="83"/>
        <item h="1" x="117"/>
        <item h="1" x="62"/>
        <item h="1" x="51"/>
        <item h="1" x="71"/>
        <item h="1" x="45"/>
        <item h="1" x="166"/>
        <item h="1" x="145"/>
        <item h="1" x="206"/>
        <item h="1" x="157"/>
        <item h="1" x="38"/>
        <item h="1" x="182"/>
        <item h="1" x="65"/>
        <item h="1" x="2"/>
        <item h="1" x="122"/>
        <item h="1" x="168"/>
        <item h="1" x="177"/>
        <item h="1" x="191"/>
        <item h="1" x="152"/>
        <item h="1" x="144"/>
        <item h="1" x="24"/>
        <item h="1" x="60"/>
        <item h="1" x="125"/>
        <item h="1" x="120"/>
        <item h="1" x="148"/>
        <item h="1" x="112"/>
        <item h="1" x="104"/>
        <item h="1" x="156"/>
        <item h="1" x="185"/>
        <item h="1" x="150"/>
        <item h="1" x="53"/>
        <item h="1" x="48"/>
        <item h="1" x="80"/>
        <item h="1" x="46"/>
        <item h="1" x="101"/>
        <item h="1" x="107"/>
        <item h="1" x="88"/>
        <item h="1" x="179"/>
        <item h="1" x="154"/>
        <item h="1" x="141"/>
        <item h="1" x="134"/>
        <item h="1" x="66"/>
        <item h="1" x="200"/>
        <item h="1" x="94"/>
        <item h="1" x="44"/>
        <item h="1" x="22"/>
        <item h="1" x="190"/>
        <item h="1" x="160"/>
        <item h="1" x="147"/>
        <item h="1" x="79"/>
        <item h="1" x="8"/>
        <item h="1" x="64"/>
        <item h="1" x="105"/>
        <item h="1" x="67"/>
        <item h="1" x="47"/>
        <item h="1" x="126"/>
        <item h="1" x="77"/>
        <item h="1" x="39"/>
        <item h="1" x="9"/>
        <item h="1" x="28"/>
        <item h="1" x="87"/>
        <item h="1" x="184"/>
        <item h="1" x="69"/>
        <item h="1" x="132"/>
        <item h="1" x="63"/>
        <item h="1" x="116"/>
        <item h="1" x="86"/>
        <item h="1" x="108"/>
        <item h="1" x="205"/>
        <item h="1" x="43"/>
        <item h="1" x="114"/>
        <item h="1" x="41"/>
        <item h="1" x="167"/>
        <item h="1" x="20"/>
        <item h="1" x="124"/>
        <item h="1" x="165"/>
        <item h="1" x="113"/>
        <item h="1" x="10"/>
        <item h="1" x="7"/>
        <item h="1" x="73"/>
        <item h="1" x="4"/>
        <item h="1" x="58"/>
        <item h="1" x="92"/>
        <item h="1" x="174"/>
        <item h="1" x="193"/>
        <item h="1" x="149"/>
        <item h="1" x="202"/>
        <item h="1" x="68"/>
        <item h="1" x="159"/>
        <item h="1" x="115"/>
        <item h="1" x="12"/>
        <item h="1" x="57"/>
        <item h="1" x="34"/>
        <item h="1" x="97"/>
        <item h="1" x="98"/>
        <item h="1" x="30"/>
        <item h="1" x="180"/>
        <item h="1" x="42"/>
        <item h="1" x="197"/>
        <item h="1" x="186"/>
        <item h="1" x="21"/>
        <item h="1" x="3"/>
        <item h="1" x="19"/>
        <item h="1" x="118"/>
        <item h="1" x="14"/>
        <item h="1" x="196"/>
        <item h="1" x="181"/>
        <item h="1" x="5"/>
        <item h="1" x="192"/>
        <item h="1" x="204"/>
        <item h="1" x="31"/>
        <item h="1" x="155"/>
        <item h="1" x="110"/>
        <item h="1" x="151"/>
        <item h="1" x="199"/>
        <item h="1" x="15"/>
        <item h="1" x="35"/>
        <item h="1" x="129"/>
        <item h="1" x="189"/>
        <item h="1" x="56"/>
        <item h="1" x="130"/>
        <item h="1" x="52"/>
        <item h="1" x="133"/>
        <item h="1" x="17"/>
        <item h="1" x="137"/>
        <item h="1" x="59"/>
        <item h="1" x="29"/>
        <item h="1" x="6"/>
        <item h="1" x="95"/>
        <item h="1" x="0"/>
        <item h="1" x="85"/>
        <item h="1" x="75"/>
        <item h="1" x="162"/>
        <item h="1" x="55"/>
        <item h="1" x="198"/>
        <item h="1" x="27"/>
        <item h="1" x="173"/>
        <item h="1" x="178"/>
        <item h="1" x="172"/>
        <item h="1" x="99"/>
        <item h="1" x="176"/>
        <item h="1" x="183"/>
        <item h="1" x="72"/>
        <item h="1" x="1"/>
        <item h="1" x="111"/>
        <item h="1" x="194"/>
        <item t="default"/>
      </items>
    </pivotField>
    <pivotField compact="0" outline="0" showAll="0"/>
    <pivotField compact="0" outline="0" showAll="0"/>
    <pivotField compact="0" outline="0" showAll="0"/>
    <pivotField compact="0" numFmtId="1" outline="0" showAll="0"/>
    <pivotField compact="0" outline="0" showAll="0"/>
    <pivotField dataField="1" compact="0" outline="0" showAll="0"/>
  </pivotFields>
  <rowFields count="1">
    <field x="2"/>
  </rowFields>
  <rowItems count="5">
    <i>
      <x v="257"/>
    </i>
    <i>
      <x v="163"/>
    </i>
    <i>
      <x v="157"/>
    </i>
    <i>
      <x v="260"/>
    </i>
    <i t="grand">
      <x/>
    </i>
  </rowItems>
  <colItems count="1">
    <i/>
  </colItems>
  <dataFields count="1">
    <dataField name="Sum of rating_count" fld="9" baseField="0" baseItem="0"/>
  </dataFields>
  <chartFormats count="7">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3367C-80FE-4D18-A4E7-61C5761C4555}" name="PivotTable5" cacheId="1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C8" firstHeaderRow="0" firstDataRow="1" firstDataCol="1"/>
  <pivotFields count="10">
    <pivotField compact="0" outline="0" showAll="0"/>
    <pivotField compact="0" outline="0" showAll="0"/>
    <pivotField axis="axisRow" compact="0" outline="0" showAll="0">
      <items count="405">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272"/>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pivotField>
    <pivotField compact="0" outline="0" showAll="0">
      <items count="208">
        <item h="1" x="18"/>
        <item h="1" x="11"/>
        <item h="1" x="102"/>
        <item x="153"/>
        <item h="1" x="175"/>
        <item h="1" x="25"/>
        <item h="1" x="16"/>
        <item h="1" x="127"/>
        <item h="1" x="84"/>
        <item h="1" x="37"/>
        <item h="1" x="23"/>
        <item h="1" x="109"/>
        <item h="1" x="36"/>
        <item h="1" x="74"/>
        <item h="1" x="70"/>
        <item h="1" x="90"/>
        <item h="1" x="32"/>
        <item h="1" x="136"/>
        <item h="1" x="40"/>
        <item h="1" x="164"/>
        <item h="1" x="96"/>
        <item h="1" x="163"/>
        <item h="1" x="143"/>
        <item h="1" x="81"/>
        <item h="1" x="201"/>
        <item h="1" x="195"/>
        <item h="1" x="103"/>
        <item h="1" x="121"/>
        <item h="1" x="76"/>
        <item h="1" x="91"/>
        <item h="1" x="49"/>
        <item h="1" x="100"/>
        <item h="1" x="131"/>
        <item h="1" x="26"/>
        <item h="1" x="33"/>
        <item h="1" x="106"/>
        <item h="1" x="187"/>
        <item h="1" x="142"/>
        <item h="1" x="161"/>
        <item h="1" x="50"/>
        <item h="1" x="82"/>
        <item h="1" x="171"/>
        <item h="1" x="146"/>
        <item h="1" x="61"/>
        <item h="1" x="13"/>
        <item h="1" x="119"/>
        <item h="1" x="158"/>
        <item h="1" x="169"/>
        <item h="1" x="139"/>
        <item h="1" x="138"/>
        <item h="1" x="188"/>
        <item h="1" x="93"/>
        <item h="1" x="170"/>
        <item h="1" x="54"/>
        <item h="1" x="89"/>
        <item h="1" x="123"/>
        <item h="1" x="140"/>
        <item h="1" x="203"/>
        <item h="1" x="78"/>
        <item h="1" x="128"/>
        <item h="1" x="135"/>
        <item h="1" x="83"/>
        <item h="1" x="117"/>
        <item h="1" x="62"/>
        <item h="1" x="51"/>
        <item h="1" x="71"/>
        <item h="1" x="45"/>
        <item h="1" x="166"/>
        <item h="1" x="145"/>
        <item h="1" x="206"/>
        <item h="1" x="157"/>
        <item h="1" x="38"/>
        <item h="1" x="182"/>
        <item h="1" x="65"/>
        <item h="1" x="2"/>
        <item h="1" x="122"/>
        <item h="1" x="168"/>
        <item h="1" x="177"/>
        <item h="1" x="191"/>
        <item h="1" x="152"/>
        <item h="1" x="144"/>
        <item h="1" x="24"/>
        <item h="1" x="60"/>
        <item h="1" x="125"/>
        <item h="1" x="120"/>
        <item h="1" x="148"/>
        <item h="1" x="112"/>
        <item h="1" x="104"/>
        <item h="1" x="156"/>
        <item h="1" x="185"/>
        <item h="1" x="150"/>
        <item h="1" x="53"/>
        <item h="1" x="48"/>
        <item h="1" x="80"/>
        <item h="1" x="46"/>
        <item h="1" x="101"/>
        <item h="1" x="107"/>
        <item h="1" x="88"/>
        <item h="1" x="179"/>
        <item h="1" x="154"/>
        <item h="1" x="141"/>
        <item h="1" x="134"/>
        <item h="1" x="66"/>
        <item h="1" x="200"/>
        <item h="1" x="94"/>
        <item h="1" x="44"/>
        <item h="1" x="22"/>
        <item h="1" x="190"/>
        <item h="1" x="160"/>
        <item h="1" x="147"/>
        <item h="1" x="79"/>
        <item h="1" x="8"/>
        <item h="1" x="64"/>
        <item h="1" x="105"/>
        <item h="1" x="67"/>
        <item h="1" x="47"/>
        <item h="1" x="126"/>
        <item h="1" x="77"/>
        <item h="1" x="39"/>
        <item h="1" x="9"/>
        <item h="1" x="28"/>
        <item h="1" x="87"/>
        <item h="1" x="184"/>
        <item h="1" x="69"/>
        <item h="1" x="132"/>
        <item h="1" x="63"/>
        <item h="1" x="116"/>
        <item h="1" x="86"/>
        <item h="1" x="108"/>
        <item h="1" x="205"/>
        <item h="1" x="43"/>
        <item h="1" x="114"/>
        <item h="1" x="41"/>
        <item h="1" x="167"/>
        <item h="1" x="20"/>
        <item h="1" x="124"/>
        <item h="1" x="165"/>
        <item h="1" x="113"/>
        <item h="1" x="10"/>
        <item h="1" x="7"/>
        <item h="1" x="73"/>
        <item h="1" x="4"/>
        <item h="1" x="58"/>
        <item h="1" x="92"/>
        <item h="1" x="174"/>
        <item h="1" x="193"/>
        <item h="1" x="149"/>
        <item h="1" x="202"/>
        <item h="1" x="68"/>
        <item h="1" x="159"/>
        <item h="1" x="115"/>
        <item h="1" x="12"/>
        <item h="1" x="57"/>
        <item h="1" x="34"/>
        <item h="1" x="97"/>
        <item h="1" x="98"/>
        <item h="1" x="30"/>
        <item h="1" x="180"/>
        <item h="1" x="42"/>
        <item h="1" x="197"/>
        <item h="1" x="186"/>
        <item h="1" x="21"/>
        <item h="1" x="3"/>
        <item h="1" x="19"/>
        <item h="1" x="118"/>
        <item h="1" x="14"/>
        <item h="1" x="196"/>
        <item h="1" x="181"/>
        <item h="1" x="5"/>
        <item h="1" x="192"/>
        <item h="1" x="204"/>
        <item h="1" x="31"/>
        <item h="1" x="155"/>
        <item h="1" x="110"/>
        <item h="1" x="151"/>
        <item h="1" x="199"/>
        <item h="1" x="15"/>
        <item h="1" x="35"/>
        <item h="1" x="129"/>
        <item h="1" x="189"/>
        <item h="1" x="56"/>
        <item h="1" x="130"/>
        <item h="1" x="52"/>
        <item h="1" x="133"/>
        <item h="1" x="17"/>
        <item h="1" x="137"/>
        <item h="1" x="59"/>
        <item h="1" x="29"/>
        <item h="1" x="6"/>
        <item h="1" x="95"/>
        <item h="1" x="0"/>
        <item h="1" x="85"/>
        <item h="1" x="75"/>
        <item h="1" x="162"/>
        <item h="1" x="55"/>
        <item h="1" x="198"/>
        <item h="1" x="27"/>
        <item h="1" x="173"/>
        <item h="1" x="178"/>
        <item h="1" x="172"/>
        <item h="1" x="99"/>
        <item h="1" x="176"/>
        <item h="1" x="183"/>
        <item h="1" x="72"/>
        <item h="1" x="1"/>
        <item h="1" x="111"/>
        <item h="1" x="194"/>
        <item t="default"/>
      </items>
    </pivotField>
    <pivotField compact="0" outline="0" showAll="0"/>
    <pivotField dataField="1" compact="0" outline="0" showAll="0"/>
    <pivotField compact="0" outline="0" showAll="0"/>
    <pivotField compact="0" numFmtId="1" outline="0" showAll="0"/>
    <pivotField dataField="1" compact="0" outline="0" showAll="0"/>
    <pivotField compact="0" outline="0" showAll="0"/>
  </pivotFields>
  <rowFields count="1">
    <field x="2"/>
  </rowFields>
  <rowItems count="5">
    <i>
      <x v="157"/>
    </i>
    <i>
      <x v="163"/>
    </i>
    <i>
      <x v="257"/>
    </i>
    <i>
      <x v="260"/>
    </i>
    <i t="grand">
      <x/>
    </i>
  </rowItems>
  <colFields count="1">
    <field x="-2"/>
  </colFields>
  <colItems count="2">
    <i>
      <x/>
    </i>
    <i i="1">
      <x v="1"/>
    </i>
  </colItems>
  <dataFields count="2">
    <dataField name="Average of discounted_price" fld="5" subtotal="average" baseField="0" baseItem="0" numFmtId="1"/>
    <dataField name="Average of rating" fld="8" subtotal="average" baseField="0" baseItem="0" numFmtId="167"/>
  </dataFields>
  <formats count="3">
    <format dxfId="5">
      <pivotArea outline="0" fieldPosition="0">
        <references count="1">
          <reference field="4294967294" count="1" selected="0">
            <x v="0"/>
          </reference>
        </references>
      </pivotArea>
    </format>
    <format dxfId="6">
      <pivotArea outline="0"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2" format="18"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0729287E-0FA0-469C-835A-B229E8D5AE99}" sourceName="product_type">
  <pivotTables>
    <pivotTable tabId="2" name="PivotTable2"/>
    <pivotTable tabId="3" name="PivotTable3"/>
    <pivotTable tabId="4" name="PivotTable4"/>
    <pivotTable tabId="5" name="PivotTable5"/>
  </pivotTables>
  <data>
    <tabular pivotCacheId="1804575144">
      <items count="404">
        <i x="249" s="1"/>
        <i x="344" s="1"/>
        <i x="251" s="1"/>
        <i x="234" s="1"/>
        <i x="289" s="1" nd="1"/>
        <i x="338" s="1" nd="1"/>
        <i x="51" s="1" nd="1"/>
        <i x="134" s="1" nd="1"/>
        <i x="146" s="1" nd="1"/>
        <i x="401" s="1" nd="1"/>
        <i x="82" s="1" nd="1"/>
        <i x="20" s="1" nd="1"/>
        <i x="385" s="1" nd="1"/>
        <i x="14" s="1" nd="1"/>
        <i x="290" s="1" nd="1"/>
        <i x="76" s="1" nd="1"/>
        <i x="102" s="1" nd="1"/>
        <i x="165" s="1" nd="1"/>
        <i x="23" s="1" nd="1"/>
        <i x="328" s="1" nd="1"/>
        <i x="303" s="1" nd="1"/>
        <i x="333" s="1" nd="1"/>
        <i x="218" s="1" nd="1"/>
        <i x="19" s="1" nd="1"/>
        <i x="8" s="1" nd="1"/>
        <i x="1" s="1" nd="1"/>
        <i x="342" s="1" nd="1"/>
        <i x="66" s="1" nd="1"/>
        <i x="121" s="1" nd="1"/>
        <i x="194" s="1" nd="1"/>
        <i x="199" s="1" nd="1"/>
        <i x="351" s="1" nd="1"/>
        <i x="177" s="1" nd="1"/>
        <i x="198" s="1" nd="1"/>
        <i x="387" s="1" nd="1"/>
        <i x="337" s="1" nd="1"/>
        <i x="352" s="1" nd="1"/>
        <i x="310" s="1" nd="1"/>
        <i x="223" s="1" nd="1"/>
        <i x="72" s="1" nd="1"/>
        <i x="285" s="1" nd="1"/>
        <i x="287" s="1" nd="1"/>
        <i x="347" s="1" nd="1"/>
        <i x="240" s="1" nd="1"/>
        <i x="316" s="1" nd="1"/>
        <i x="237" s="1" nd="1"/>
        <i x="46" s="1" nd="1"/>
        <i x="96" s="1" nd="1"/>
        <i x="233" s="1" nd="1"/>
        <i x="356" s="1" nd="1"/>
        <i x="322" s="1" nd="1"/>
        <i x="54" s="1" nd="1"/>
        <i x="3" s="1" nd="1"/>
        <i x="260" s="1" nd="1"/>
        <i x="263" s="1" nd="1"/>
        <i x="142" s="1" nd="1"/>
        <i x="144" s="1" nd="1"/>
        <i x="171" s="1" nd="1"/>
        <i x="296" s="1" nd="1"/>
        <i x="184" s="1" nd="1"/>
        <i x="256" s="1" nd="1"/>
        <i x="253" s="1" nd="1"/>
        <i x="272" s="1" nd="1"/>
        <i x="81" s="1" nd="1"/>
        <i x="216" s="1" nd="1"/>
        <i x="383" s="1" nd="1"/>
        <i x="64" s="1" nd="1"/>
        <i x="168" s="1" nd="1"/>
        <i x="207" s="1" nd="1"/>
        <i x="231" s="1" nd="1"/>
        <i x="378" s="1" nd="1"/>
        <i x="335" s="1" nd="1"/>
        <i x="212" s="1" nd="1"/>
        <i x="73" s="1" nd="1"/>
        <i x="386" s="1" nd="1"/>
        <i x="232" s="1" nd="1"/>
        <i x="149" s="1" nd="1"/>
        <i x="28" s="1" nd="1"/>
        <i x="340" s="1" nd="1"/>
        <i x="145" s="1" nd="1"/>
        <i x="162" s="1" nd="1"/>
        <i x="282" s="1" nd="1"/>
        <i x="43" s="1" nd="1"/>
        <i x="298" s="1" nd="1"/>
        <i x="203" s="1" nd="1"/>
        <i x="42" s="1" nd="1"/>
        <i x="259" s="1" nd="1"/>
        <i x="40" s="1" nd="1"/>
        <i x="176" s="1" nd="1"/>
        <i x="70" s="1" nd="1"/>
        <i x="329" s="1" nd="1"/>
        <i x="83" s="1" nd="1"/>
        <i x="185" s="1" nd="1"/>
        <i x="38" s="1" nd="1"/>
        <i x="143" s="1" nd="1"/>
        <i x="343" s="1" nd="1"/>
        <i x="161" s="1" nd="1"/>
        <i x="150" s="1" nd="1"/>
        <i x="18" s="1" nd="1"/>
        <i x="326" s="1" nd="1"/>
        <i x="10" s="1" nd="1"/>
        <i x="138" s="1" nd="1"/>
        <i x="390" s="1" nd="1"/>
        <i x="395" s="1" nd="1"/>
        <i x="164" s="1" nd="1"/>
        <i x="346" s="1" nd="1"/>
        <i x="56" s="1" nd="1"/>
        <i x="44" s="1" nd="1"/>
        <i x="110" s="1" nd="1"/>
        <i x="381" s="1" nd="1"/>
        <i x="127" s="1" nd="1"/>
        <i x="312" s="1" nd="1"/>
        <i x="195" s="1" nd="1"/>
        <i x="192" s="1" nd="1"/>
        <i x="314" s="1" nd="1"/>
        <i x="158" s="1" nd="1"/>
        <i x="366" s="1" nd="1"/>
        <i x="183" s="1" nd="1"/>
        <i x="321" s="1" nd="1"/>
        <i x="104" s="1" nd="1"/>
        <i x="265" s="1" nd="1"/>
        <i x="151" s="1" nd="1"/>
        <i x="99" s="1" nd="1"/>
        <i x="213" s="1" nd="1"/>
        <i x="295" s="1" nd="1"/>
        <i x="190" s="1" nd="1"/>
        <i x="315" s="1" nd="1"/>
        <i x="105" s="1" nd="1"/>
        <i x="32" s="1" nd="1"/>
        <i x="13" s="1" nd="1"/>
        <i x="227" s="1" nd="1"/>
        <i x="163" s="1" nd="1"/>
        <i x="379" s="1" nd="1"/>
        <i x="330" s="1" nd="1"/>
        <i x="55" s="1" nd="1"/>
        <i x="37" s="1" nd="1"/>
        <i x="267" s="1" nd="1"/>
        <i x="34" s="1" nd="1"/>
        <i x="389" s="1" nd="1"/>
        <i x="238" s="1" nd="1"/>
        <i x="116" s="1" nd="1"/>
        <i x="354" s="1" nd="1"/>
        <i x="360" s="1" nd="1"/>
        <i x="244" s="1" nd="1"/>
        <i x="226" s="1" nd="1"/>
        <i x="262" s="1" nd="1"/>
        <i x="300" s="1" nd="1"/>
        <i x="397" s="1" nd="1"/>
        <i x="78" s="1" nd="1"/>
        <i x="284" s="1" nd="1"/>
        <i x="48" s="1" nd="1"/>
        <i x="292" s="1" nd="1"/>
        <i x="299" s="1" nd="1"/>
        <i x="332" s="1" nd="1"/>
        <i x="117" s="1" nd="1"/>
        <i x="276" s="1" nd="1"/>
        <i x="175" s="1" nd="1"/>
        <i x="301" s="1" nd="1"/>
        <i x="49" s="1" nd="1"/>
        <i x="270" s="1" nd="1"/>
        <i x="224" s="1" nd="1"/>
        <i x="319" s="1" nd="1"/>
        <i x="170" s="1" nd="1"/>
        <i x="372" s="1" nd="1"/>
        <i x="186" s="1" nd="1"/>
        <i x="279" s="1" nd="1"/>
        <i x="229" s="1" nd="1"/>
        <i x="365" s="1" nd="1"/>
        <i x="129" s="1" nd="1"/>
        <i x="111" s="1" nd="1"/>
        <i x="97" s="1" nd="1"/>
        <i x="39" s="1" nd="1"/>
        <i x="201" s="1" nd="1"/>
        <i x="109" s="1" nd="1"/>
        <i x="364" s="1" nd="1"/>
        <i x="306" s="1" nd="1"/>
        <i x="169" s="1" nd="1"/>
        <i x="62" s="1" nd="1"/>
        <i x="394" s="1" nd="1"/>
        <i x="362" s="1" nd="1"/>
        <i x="246" s="1" nd="1"/>
        <i x="348" s="1" nd="1"/>
        <i x="45" s="1" nd="1"/>
        <i x="120" s="1" nd="1"/>
        <i x="191" s="1" nd="1"/>
        <i x="275" s="1" nd="1"/>
        <i x="399" s="1" nd="1"/>
        <i x="293" s="1" nd="1"/>
        <i x="202" s="1" nd="1"/>
        <i x="400" s="1" nd="1"/>
        <i x="371" s="1" nd="1"/>
        <i x="53" s="1" nd="1"/>
        <i x="369" s="1" nd="1"/>
        <i x="84" s="1" nd="1"/>
        <i x="269" s="1" nd="1"/>
        <i x="125" s="1" nd="1"/>
        <i x="392" s="1" nd="1"/>
        <i x="24" s="1" nd="1"/>
        <i x="396" s="1" nd="1"/>
        <i x="90" s="1" nd="1"/>
        <i x="86" s="1" nd="1"/>
        <i x="9" s="1" nd="1"/>
        <i x="388" s="1" nd="1"/>
        <i x="247" s="1" nd="1"/>
        <i x="271" s="1" nd="1"/>
        <i x="130" s="1" nd="1"/>
        <i x="345" s="1" nd="1"/>
        <i x="139" s="1" nd="1"/>
        <i x="36" s="1" nd="1"/>
        <i x="382" s="1" nd="1"/>
        <i x="357" s="1" nd="1"/>
        <i x="52" s="1" nd="1"/>
        <i x="93" s="1" nd="1"/>
        <i x="273" s="1" nd="1"/>
        <i x="100" s="1" nd="1"/>
        <i x="173" s="1" nd="1"/>
        <i x="373" s="1" nd="1"/>
        <i x="266" s="1" nd="1"/>
        <i x="181" s="1" nd="1"/>
        <i x="339" s="1" nd="1"/>
        <i x="157" s="1" nd="1"/>
        <i x="6" s="1" nd="1"/>
        <i x="353" s="1" nd="1"/>
        <i x="268" s="1" nd="1"/>
        <i x="137" s="1" nd="1"/>
        <i x="26" s="1" nd="1"/>
        <i x="391" s="1" nd="1"/>
        <i x="245" s="1" nd="1"/>
        <i x="119" s="1" nd="1"/>
        <i x="336" s="1" nd="1"/>
        <i x="334" s="1" nd="1"/>
        <i x="68" s="1" nd="1"/>
        <i x="124" s="1" nd="1"/>
        <i x="363" s="1" nd="1"/>
        <i x="402" s="1" nd="1"/>
        <i x="349" s="1" nd="1"/>
        <i x="92" s="1" nd="1"/>
        <i x="403" s="1" nd="1"/>
        <i x="107" s="1" nd="1"/>
        <i x="133" s="1" nd="1"/>
        <i x="108" s="1" nd="1"/>
        <i x="252" s="1" nd="1"/>
        <i x="153" s="1" nd="1"/>
        <i x="230" s="1" nd="1"/>
        <i x="189" s="1" nd="1"/>
        <i x="15" s="1" nd="1"/>
        <i x="126" s="1" nd="1"/>
        <i x="112" s="1" nd="1"/>
        <i x="27" s="1" nd="1"/>
        <i x="307" s="1" nd="1"/>
        <i x="222" s="1" nd="1"/>
        <i x="255" s="1" nd="1"/>
        <i x="242" s="1" nd="1"/>
        <i x="367" s="1" nd="1"/>
        <i x="156" s="1" nd="1"/>
        <i x="172" s="1" nd="1"/>
        <i x="228" s="1" nd="1"/>
        <i x="197" s="1" nd="1"/>
        <i x="323" s="1" nd="1"/>
        <i x="308" s="1" nd="1"/>
        <i x="152" s="1" nd="1"/>
        <i x="200" s="1" nd="1"/>
        <i x="29" s="1" nd="1"/>
        <i x="132" s="1" nd="1"/>
        <i x="67" s="1" nd="1"/>
        <i x="286" s="1" nd="1"/>
        <i x="393" s="1" nd="1"/>
        <i x="4" s="1" nd="1"/>
        <i x="71" s="1" nd="1"/>
        <i x="277" s="1" nd="1"/>
        <i x="239" s="1" nd="1"/>
        <i x="250" s="1" nd="1"/>
        <i x="243" s="1" nd="1"/>
        <i x="196" s="1" nd="1"/>
        <i x="88" s="1" nd="1"/>
        <i x="136" s="1" nd="1"/>
        <i x="350" s="1" nd="1"/>
        <i x="101" s="1" nd="1"/>
        <i x="5" s="1" nd="1"/>
        <i x="159" s="1" nd="1"/>
        <i x="209" s="1" nd="1"/>
        <i x="248" s="1" nd="1"/>
        <i x="359" s="1" nd="1"/>
        <i x="370" s="1" nd="1"/>
        <i x="217" s="1" nd="1"/>
        <i x="57" s="1" nd="1"/>
        <i x="167" s="1" nd="1"/>
        <i x="25" s="1" nd="1"/>
        <i x="210" s="1" nd="1"/>
        <i x="103" s="1" nd="1"/>
        <i x="288" s="1" nd="1"/>
        <i x="47" s="1" nd="1"/>
        <i x="188" s="1" nd="1"/>
        <i x="309" s="1" nd="1"/>
        <i x="166" s="1" nd="1"/>
        <i x="257" s="1" nd="1"/>
        <i x="311" s="1" nd="1"/>
        <i x="204" s="1" nd="1"/>
        <i x="160" s="1" nd="1"/>
        <i x="75" s="1" nd="1"/>
        <i x="281" s="1" nd="1"/>
        <i x="50" s="1" nd="1"/>
        <i x="368" s="1" nd="1"/>
        <i x="361" s="1" nd="1"/>
        <i x="214" s="1" nd="1"/>
        <i x="12" s="1" nd="1"/>
        <i x="106" s="1" nd="1"/>
        <i x="77" s="1" nd="1"/>
        <i x="220" s="1" nd="1"/>
        <i x="147" s="1" nd="1"/>
        <i x="225" s="1" nd="1"/>
        <i x="341" s="1" nd="1"/>
        <i x="98" s="1" nd="1"/>
        <i x="241" s="1" nd="1"/>
        <i x="131" s="1" nd="1"/>
        <i x="211" s="1" nd="1"/>
        <i x="261" s="1" nd="1"/>
        <i x="358" s="1" nd="1"/>
        <i x="59" s="1" nd="1"/>
        <i x="141" s="1" nd="1"/>
        <i x="294" s="1" nd="1"/>
        <i x="33" s="1" nd="1"/>
        <i x="221" s="1" nd="1"/>
        <i x="79" s="1" nd="1"/>
        <i x="254" s="1" nd="1"/>
        <i x="355" s="1" nd="1"/>
        <i x="74" s="1" nd="1"/>
        <i x="60" s="1" nd="1"/>
        <i x="2" s="1" nd="1"/>
        <i x="118" s="1" nd="1"/>
        <i x="140" s="1" nd="1"/>
        <i x="61" s="1" nd="1"/>
        <i x="114" s="1" nd="1"/>
        <i x="236" s="1" nd="1"/>
        <i x="320" s="1" nd="1"/>
        <i x="324" s="1" nd="1"/>
        <i x="208" s="1" nd="1"/>
        <i x="325" s="1" nd="1"/>
        <i x="80" s="1" nd="1"/>
        <i x="31" s="1" nd="1"/>
        <i x="283" s="1" nd="1"/>
        <i x="317" s="1" nd="1"/>
        <i x="58" s="1" nd="1"/>
        <i x="95" s="1" nd="1"/>
        <i x="398" s="1" nd="1"/>
        <i x="148" s="1" nd="1"/>
        <i x="380" s="1" nd="1"/>
        <i x="219" s="1" nd="1"/>
        <i x="182" s="1" nd="1"/>
        <i x="174" s="1" nd="1"/>
        <i x="22" s="1" nd="1"/>
        <i x="30" s="1" nd="1"/>
        <i x="374" s="1" nd="1"/>
        <i x="91" s="1" nd="1"/>
        <i x="122" s="1" nd="1"/>
        <i x="327" s="1" nd="1"/>
        <i x="278" s="1" nd="1"/>
        <i x="63" s="1" nd="1"/>
        <i x="11" s="1" nd="1"/>
        <i x="135" s="1" nd="1"/>
        <i x="331" s="1" nd="1"/>
        <i x="302" s="1" nd="1"/>
        <i x="85" s="1" nd="1"/>
        <i x="7" s="1" nd="1"/>
        <i x="376" s="1" nd="1"/>
        <i x="87" s="1" nd="1"/>
        <i x="123" s="1" nd="1"/>
        <i x="187" s="1" nd="1"/>
        <i x="113" s="1" nd="1"/>
        <i x="65" s="1" nd="1"/>
        <i x="128" s="1" nd="1"/>
        <i x="115" s="1" nd="1"/>
        <i x="235" s="1" nd="1"/>
        <i x="377" s="1" nd="1"/>
        <i x="305" s="1" nd="1"/>
        <i x="297" s="1" nd="1"/>
        <i x="193" s="1" nd="1"/>
        <i x="291" s="1" nd="1"/>
        <i x="264" s="1" nd="1"/>
        <i x="313" s="1" nd="1"/>
        <i x="41" s="1" nd="1"/>
        <i x="21" s="1" nd="1"/>
        <i x="205" s="1" nd="1"/>
        <i x="89" s="1" nd="1"/>
        <i x="0" s="1" nd="1"/>
        <i x="17" s="1" nd="1"/>
        <i x="178" s="1" nd="1"/>
        <i x="179" s="1" nd="1"/>
        <i x="280" s="1" nd="1"/>
        <i x="304" s="1" nd="1"/>
        <i x="215" s="1" nd="1"/>
        <i x="274" s="1" nd="1"/>
        <i x="384" s="1" nd="1"/>
        <i x="258" s="1" nd="1"/>
        <i x="69" s="1" nd="1"/>
        <i x="154" s="1" nd="1"/>
        <i x="35" s="1" nd="1"/>
        <i x="206" s="1" nd="1"/>
        <i x="375" s="1" nd="1"/>
        <i x="180" s="1" nd="1"/>
        <i x="155" s="1" nd="1"/>
        <i x="94" s="1" nd="1"/>
        <i x="16" s="1" nd="1"/>
        <i x="3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A1DB0CC9-B35D-4295-AED4-065295C5FE07}" sourceName="main_category">
  <pivotTables>
    <pivotTable tabId="2" name="PivotTable2"/>
    <pivotTable tabId="3" name="PivotTable3"/>
    <pivotTable tabId="4" name="PivotTable4"/>
    <pivotTable tabId="5" name="PivotTable5"/>
  </pivotTables>
  <data>
    <tabular pivotCacheId="1804575144">
      <items count="207">
        <i x="18"/>
        <i x="11"/>
        <i x="102"/>
        <i x="153" s="1"/>
        <i x="175"/>
        <i x="25"/>
        <i x="16"/>
        <i x="127"/>
        <i x="84"/>
        <i x="37"/>
        <i x="23"/>
        <i x="109"/>
        <i x="36"/>
        <i x="74"/>
        <i x="70"/>
        <i x="90"/>
        <i x="32"/>
        <i x="136"/>
        <i x="40"/>
        <i x="164"/>
        <i x="96"/>
        <i x="163"/>
        <i x="143"/>
        <i x="81"/>
        <i x="201"/>
        <i x="195"/>
        <i x="103"/>
        <i x="121"/>
        <i x="76"/>
        <i x="91"/>
        <i x="49"/>
        <i x="100"/>
        <i x="131"/>
        <i x="26"/>
        <i x="33"/>
        <i x="106"/>
        <i x="187"/>
        <i x="142"/>
        <i x="161"/>
        <i x="50"/>
        <i x="82"/>
        <i x="171"/>
        <i x="146"/>
        <i x="61"/>
        <i x="13"/>
        <i x="119"/>
        <i x="158"/>
        <i x="169"/>
        <i x="139"/>
        <i x="138"/>
        <i x="188"/>
        <i x="93"/>
        <i x="170"/>
        <i x="54"/>
        <i x="89"/>
        <i x="123"/>
        <i x="140"/>
        <i x="203"/>
        <i x="78"/>
        <i x="128"/>
        <i x="135"/>
        <i x="83"/>
        <i x="117"/>
        <i x="62"/>
        <i x="51"/>
        <i x="71"/>
        <i x="45"/>
        <i x="166"/>
        <i x="145"/>
        <i x="206"/>
        <i x="157"/>
        <i x="38"/>
        <i x="182"/>
        <i x="65"/>
        <i x="2"/>
        <i x="122"/>
        <i x="168"/>
        <i x="177"/>
        <i x="191"/>
        <i x="152"/>
        <i x="144"/>
        <i x="24"/>
        <i x="60"/>
        <i x="125"/>
        <i x="120"/>
        <i x="148"/>
        <i x="112"/>
        <i x="104"/>
        <i x="156"/>
        <i x="185"/>
        <i x="150"/>
        <i x="53"/>
        <i x="48"/>
        <i x="80"/>
        <i x="46"/>
        <i x="101"/>
        <i x="107"/>
        <i x="88"/>
        <i x="179"/>
        <i x="154"/>
        <i x="141"/>
        <i x="134"/>
        <i x="66"/>
        <i x="200"/>
        <i x="94"/>
        <i x="44"/>
        <i x="22"/>
        <i x="190"/>
        <i x="160"/>
        <i x="147"/>
        <i x="79"/>
        <i x="8"/>
        <i x="64"/>
        <i x="105"/>
        <i x="67"/>
        <i x="47"/>
        <i x="126"/>
        <i x="77"/>
        <i x="39"/>
        <i x="9"/>
        <i x="28"/>
        <i x="87"/>
        <i x="184"/>
        <i x="69"/>
        <i x="132"/>
        <i x="63"/>
        <i x="116"/>
        <i x="86"/>
        <i x="108"/>
        <i x="205"/>
        <i x="43"/>
        <i x="114"/>
        <i x="41"/>
        <i x="167"/>
        <i x="20"/>
        <i x="124"/>
        <i x="165"/>
        <i x="113"/>
        <i x="10"/>
        <i x="7"/>
        <i x="73"/>
        <i x="4"/>
        <i x="58"/>
        <i x="92"/>
        <i x="174"/>
        <i x="193"/>
        <i x="149"/>
        <i x="202"/>
        <i x="68"/>
        <i x="159"/>
        <i x="115"/>
        <i x="12"/>
        <i x="57"/>
        <i x="34"/>
        <i x="97"/>
        <i x="98"/>
        <i x="30"/>
        <i x="180"/>
        <i x="42"/>
        <i x="197"/>
        <i x="186"/>
        <i x="21"/>
        <i x="3"/>
        <i x="19"/>
        <i x="118"/>
        <i x="14"/>
        <i x="196"/>
        <i x="181"/>
        <i x="5"/>
        <i x="192"/>
        <i x="204"/>
        <i x="31"/>
        <i x="155"/>
        <i x="110"/>
        <i x="151"/>
        <i x="199"/>
        <i x="15"/>
        <i x="35"/>
        <i x="129"/>
        <i x="189"/>
        <i x="56"/>
        <i x="130"/>
        <i x="52"/>
        <i x="133"/>
        <i x="17"/>
        <i x="137"/>
        <i x="59"/>
        <i x="29"/>
        <i x="6"/>
        <i x="95"/>
        <i x="0"/>
        <i x="85"/>
        <i x="75"/>
        <i x="162"/>
        <i x="55"/>
        <i x="198"/>
        <i x="27"/>
        <i x="173"/>
        <i x="178"/>
        <i x="172"/>
        <i x="99"/>
        <i x="176"/>
        <i x="183"/>
        <i x="72"/>
        <i x="1"/>
        <i x="111"/>
        <i x="19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584CEEFA-47D3-47B4-B6BA-756E9C1D6419}" cache="Slicer_product_type" caption="product_type" rowHeight="228600"/>
  <slicer name="main_category" xr10:uid="{09212A4B-6898-4D8C-BD4B-CE7E2F11CD70}" cache="Slicer_main_category" caption="main_category"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1D288A-104F-4004-80C7-DF74BC8DF9F2}" name="Table2" displayName="Table2" ref="A1:J1385" totalsRowShown="0" headerRowDxfId="4">
  <autoFilter ref="A1:J1385" xr:uid="{1E1D288A-104F-4004-80C7-DF74BC8DF9F2}"/>
  <tableColumns count="10">
    <tableColumn id="1" xr3:uid="{1BE02B54-EDC4-4158-B698-15DDA699F845}" name="product_id"/>
    <tableColumn id="2" xr3:uid="{DE9BF6E0-9600-4F2E-95D3-989150CE3959}" name="product_name"/>
    <tableColumn id="3" xr3:uid="{8FEC3702-6893-4687-A337-559D215F1ADF}" name="product_type">
      <calculatedColumnFormula>LEFT(B2,FIND(" ",B2)-1)</calculatedColumnFormula>
    </tableColumn>
    <tableColumn id="4" xr3:uid="{224479CF-7893-48BA-973B-D3C6BF407459}" name="main_category">
      <calculatedColumnFormula>TRIM(RIGHT(E2,LEN(E2)-FIND("@",SUBSTITUTE(E2,"|","@",LEN(E2)-LEN(SUBSTITUTE(E2,"|",""))))))</calculatedColumnFormula>
    </tableColumn>
    <tableColumn id="5" xr3:uid="{AD5ADF7E-DF88-440B-A1FA-BD5B4C779AC1}" name="category"/>
    <tableColumn id="6" xr3:uid="{FF350182-A055-46F2-98AF-364CB3AEDC13}" name="discounted_price" dataDxfId="3"/>
    <tableColumn id="7" xr3:uid="{BA7EAF3B-F5BD-40C9-B159-4927654C71C2}" name="actual_price" dataDxfId="2"/>
    <tableColumn id="8" xr3:uid="{F110B56F-A8BA-4BF6-A500-B1AD05D6EA5D}" name="discount_percentage" dataDxfId="1"/>
    <tableColumn id="9" xr3:uid="{15B77F70-18FF-463E-BA43-8FA96DE61E51}" name="rating"/>
    <tableColumn id="10" xr3:uid="{24C176E9-F749-4E90-AA58-02923F227B24}" name="rating_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BCD2A-7934-4A90-9FFC-8C123AFF22A5}">
  <dimension ref="A1:K35"/>
  <sheetViews>
    <sheetView tabSelected="1" workbookViewId="0">
      <selection activeCell="N10" sqref="N10"/>
    </sheetView>
  </sheetViews>
  <sheetFormatPr defaultRowHeight="15"/>
  <cols>
    <col min="1" max="1" width="16" bestFit="1" customWidth="1"/>
    <col min="2" max="2" width="19" bestFit="1" customWidth="1"/>
    <col min="3" max="3" width="26.28515625" bestFit="1" customWidth="1"/>
    <col min="4" max="4" width="16.28515625" bestFit="1" customWidth="1"/>
  </cols>
  <sheetData>
    <row r="1" spans="1:11">
      <c r="A1" s="9" t="s">
        <v>0</v>
      </c>
      <c r="B1" s="8"/>
      <c r="C1" s="8"/>
      <c r="D1" s="8"/>
      <c r="E1" s="8"/>
      <c r="F1" s="8"/>
      <c r="G1" s="8"/>
      <c r="H1" s="8"/>
      <c r="I1" s="8"/>
      <c r="J1" s="8"/>
      <c r="K1" s="8"/>
    </row>
    <row r="2" spans="1:11">
      <c r="A2" s="8"/>
      <c r="B2" s="8"/>
      <c r="C2" s="8"/>
      <c r="D2" s="8"/>
      <c r="E2" s="8"/>
      <c r="F2" s="8"/>
      <c r="G2" s="8"/>
      <c r="H2" s="8"/>
      <c r="I2" s="8"/>
      <c r="J2" s="8"/>
      <c r="K2" s="8"/>
    </row>
    <row r="3" spans="1:11">
      <c r="A3" s="8"/>
      <c r="B3" s="8"/>
      <c r="C3" s="8"/>
      <c r="D3" s="8"/>
      <c r="E3" s="8"/>
      <c r="F3" s="8"/>
      <c r="G3" s="8"/>
      <c r="H3" s="8"/>
      <c r="I3" s="8"/>
      <c r="J3" s="8"/>
      <c r="K3" s="8"/>
    </row>
    <row r="4" spans="1:11">
      <c r="A4" s="10"/>
      <c r="B4" s="10"/>
      <c r="C4" s="10"/>
      <c r="D4" s="10"/>
      <c r="E4" s="10"/>
      <c r="F4" s="10"/>
      <c r="G4" s="10"/>
      <c r="H4" s="10"/>
      <c r="I4" s="10"/>
      <c r="J4" s="10"/>
      <c r="K4" s="10"/>
    </row>
    <row r="5" spans="1:11">
      <c r="A5" s="10"/>
      <c r="B5" s="10"/>
      <c r="C5" s="10"/>
      <c r="D5" s="10"/>
      <c r="E5" s="10"/>
      <c r="F5" s="10"/>
      <c r="G5" s="10"/>
      <c r="H5" s="10"/>
      <c r="I5" s="10"/>
      <c r="J5" s="10"/>
      <c r="K5" s="10"/>
    </row>
    <row r="6" spans="1:11">
      <c r="A6" s="10"/>
      <c r="B6" s="10"/>
      <c r="C6" s="10"/>
      <c r="D6" s="10"/>
      <c r="E6" s="10"/>
      <c r="F6" s="10"/>
      <c r="G6" s="10"/>
      <c r="H6" s="10"/>
      <c r="I6" s="10"/>
      <c r="J6" s="10"/>
      <c r="K6" s="10"/>
    </row>
    <row r="7" spans="1:11">
      <c r="A7" s="10"/>
      <c r="B7" s="10"/>
      <c r="C7" s="10"/>
      <c r="D7" s="10"/>
      <c r="E7" s="10"/>
      <c r="F7" s="10"/>
      <c r="G7" s="10"/>
      <c r="H7" s="10"/>
      <c r="I7" s="10"/>
      <c r="J7" s="10"/>
      <c r="K7" s="10"/>
    </row>
    <row r="8" spans="1:11">
      <c r="A8" s="10"/>
      <c r="B8" s="10"/>
      <c r="C8" s="10"/>
      <c r="D8" s="10"/>
      <c r="E8" s="10"/>
      <c r="F8" s="10"/>
      <c r="G8" s="10"/>
      <c r="H8" s="10"/>
      <c r="I8" s="10"/>
      <c r="J8" s="10"/>
      <c r="K8" s="10"/>
    </row>
    <row r="9" spans="1:11">
      <c r="A9" s="10"/>
      <c r="B9" s="10"/>
      <c r="C9" s="10"/>
      <c r="D9" s="10"/>
      <c r="E9" s="10"/>
      <c r="F9" s="10"/>
      <c r="G9" s="10"/>
      <c r="H9" s="10"/>
      <c r="I9" s="10"/>
      <c r="J9" s="10"/>
      <c r="K9" s="10"/>
    </row>
    <row r="10" spans="1:11">
      <c r="A10" s="10"/>
      <c r="B10" s="10"/>
      <c r="C10" s="10"/>
      <c r="D10" s="10"/>
      <c r="E10" s="10"/>
      <c r="F10" s="10"/>
      <c r="G10" s="10"/>
      <c r="H10" s="10"/>
      <c r="I10" s="10"/>
      <c r="J10" s="10"/>
      <c r="K10" s="10"/>
    </row>
    <row r="11" spans="1:11">
      <c r="A11" s="10"/>
      <c r="B11" s="10"/>
      <c r="C11" s="10"/>
      <c r="D11" s="10"/>
      <c r="E11" s="10"/>
      <c r="F11" s="10"/>
      <c r="G11" s="10"/>
      <c r="H11" s="10"/>
      <c r="I11" s="10"/>
      <c r="J11" s="10"/>
      <c r="K11" s="10"/>
    </row>
    <row r="12" spans="1:11">
      <c r="A12" s="10"/>
      <c r="B12" s="10"/>
      <c r="C12" s="10"/>
      <c r="D12" s="10"/>
      <c r="E12" s="10"/>
      <c r="F12" s="10"/>
      <c r="G12" s="10"/>
      <c r="H12" s="10"/>
      <c r="I12" s="10"/>
      <c r="J12" s="10"/>
      <c r="K12" s="10"/>
    </row>
    <row r="13" spans="1:11">
      <c r="A13" s="10"/>
      <c r="B13" s="10"/>
      <c r="C13" s="10"/>
      <c r="D13" s="10"/>
      <c r="E13" s="10"/>
      <c r="F13" s="10"/>
      <c r="G13" s="10"/>
      <c r="H13" s="10"/>
      <c r="I13" s="10"/>
      <c r="J13" s="10"/>
      <c r="K13" s="10"/>
    </row>
    <row r="14" spans="1:11">
      <c r="A14" s="10"/>
      <c r="B14" s="10"/>
      <c r="C14" s="10"/>
      <c r="D14" s="10"/>
      <c r="E14" s="10"/>
      <c r="F14" s="10"/>
      <c r="G14" s="10"/>
      <c r="H14" s="10"/>
      <c r="I14" s="10"/>
      <c r="J14" s="10"/>
      <c r="K14" s="10"/>
    </row>
    <row r="15" spans="1:11">
      <c r="A15" s="10"/>
      <c r="B15" s="10"/>
      <c r="C15" s="10"/>
      <c r="D15" s="10"/>
      <c r="E15" s="10"/>
      <c r="F15" s="10"/>
      <c r="G15" s="10"/>
      <c r="H15" s="10"/>
      <c r="I15" s="10"/>
      <c r="J15" s="10"/>
      <c r="K15" s="10"/>
    </row>
    <row r="16" spans="1:11">
      <c r="A16" s="10"/>
      <c r="B16" s="10"/>
      <c r="C16" s="10"/>
      <c r="D16" s="10"/>
      <c r="E16" s="10"/>
      <c r="F16" s="10"/>
      <c r="G16" s="10"/>
      <c r="H16" s="10"/>
      <c r="I16" s="10"/>
      <c r="J16" s="10"/>
      <c r="K16" s="10"/>
    </row>
    <row r="17" spans="1:11">
      <c r="A17" s="10"/>
      <c r="B17" s="10"/>
      <c r="C17" s="10"/>
      <c r="D17" s="10"/>
      <c r="E17" s="10"/>
      <c r="F17" s="10"/>
      <c r="G17" s="10"/>
      <c r="H17" s="10"/>
      <c r="I17" s="10"/>
      <c r="J17" s="10"/>
      <c r="K17" s="10"/>
    </row>
    <row r="18" spans="1:11">
      <c r="A18" s="10"/>
      <c r="B18" s="10"/>
      <c r="C18" s="10"/>
      <c r="D18" s="10"/>
      <c r="E18" s="10"/>
      <c r="F18" s="10"/>
      <c r="G18" s="10"/>
      <c r="H18" s="10"/>
      <c r="I18" s="10"/>
      <c r="J18" s="10"/>
      <c r="K18" s="10"/>
    </row>
    <row r="19" spans="1:11">
      <c r="A19" s="10"/>
      <c r="B19" s="10"/>
      <c r="C19" s="10"/>
      <c r="D19" s="10"/>
      <c r="E19" s="10"/>
      <c r="F19" s="10"/>
      <c r="G19" s="10"/>
      <c r="H19" s="10"/>
      <c r="I19" s="10"/>
      <c r="J19" s="10"/>
      <c r="K19" s="10"/>
    </row>
    <row r="20" spans="1:11">
      <c r="A20" s="10"/>
      <c r="B20" s="10"/>
      <c r="C20" s="10"/>
      <c r="D20" s="10"/>
      <c r="E20" s="10"/>
      <c r="F20" s="10"/>
      <c r="G20" s="10"/>
      <c r="H20" s="10"/>
      <c r="I20" s="10"/>
      <c r="J20" s="10"/>
      <c r="K20" s="10"/>
    </row>
    <row r="21" spans="1:11">
      <c r="A21" s="10"/>
      <c r="B21" s="10"/>
      <c r="C21" s="10"/>
      <c r="D21" s="10"/>
      <c r="E21" s="10"/>
      <c r="F21" s="10"/>
      <c r="G21" s="10"/>
      <c r="H21" s="10"/>
      <c r="I21" s="10"/>
      <c r="J21" s="10"/>
      <c r="K21" s="10"/>
    </row>
    <row r="22" spans="1:11">
      <c r="A22" s="10"/>
      <c r="B22" s="10"/>
      <c r="C22" s="10"/>
      <c r="D22" s="10"/>
      <c r="E22" s="10"/>
      <c r="F22" s="10"/>
      <c r="G22" s="10"/>
      <c r="H22" s="10"/>
      <c r="I22" s="10"/>
      <c r="J22" s="10"/>
      <c r="K22" s="10"/>
    </row>
    <row r="23" spans="1:11">
      <c r="A23" s="10"/>
      <c r="B23" s="10"/>
      <c r="C23" s="10"/>
      <c r="D23" s="10"/>
      <c r="E23" s="10"/>
      <c r="F23" s="10"/>
      <c r="G23" s="10"/>
      <c r="H23" s="10"/>
      <c r="I23" s="10"/>
      <c r="J23" s="10"/>
      <c r="K23" s="10"/>
    </row>
    <row r="24" spans="1:11">
      <c r="A24" s="10"/>
      <c r="B24" s="10"/>
      <c r="C24" s="10"/>
      <c r="D24" s="10"/>
      <c r="E24" s="10"/>
      <c r="F24" s="10"/>
      <c r="G24" s="10"/>
      <c r="H24" s="10"/>
      <c r="I24" s="10"/>
      <c r="J24" s="10"/>
      <c r="K24" s="10"/>
    </row>
    <row r="25" spans="1:11">
      <c r="A25" s="10"/>
      <c r="B25" s="10"/>
      <c r="C25" s="10"/>
      <c r="D25" s="10"/>
      <c r="E25" s="10"/>
      <c r="F25" s="10"/>
      <c r="G25" s="10"/>
      <c r="H25" s="10"/>
      <c r="I25" s="10"/>
      <c r="J25" s="10"/>
      <c r="K25" s="10"/>
    </row>
    <row r="26" spans="1:11">
      <c r="A26" s="10"/>
      <c r="B26" s="10"/>
      <c r="C26" s="10"/>
      <c r="D26" s="10"/>
      <c r="E26" s="10"/>
      <c r="F26" s="10"/>
      <c r="G26" s="10"/>
      <c r="H26" s="10"/>
      <c r="I26" s="10"/>
      <c r="J26" s="10"/>
      <c r="K26" s="10"/>
    </row>
    <row r="27" spans="1:11">
      <c r="A27" s="10"/>
      <c r="B27" s="10"/>
      <c r="C27" s="10"/>
      <c r="D27" s="10"/>
      <c r="E27" s="10"/>
      <c r="F27" s="10"/>
      <c r="G27" s="10"/>
      <c r="H27" s="10"/>
      <c r="I27" s="10"/>
      <c r="J27" s="10"/>
      <c r="K27" s="10"/>
    </row>
    <row r="28" spans="1:11">
      <c r="A28" s="10"/>
      <c r="B28" s="10"/>
      <c r="C28" s="10"/>
      <c r="D28" s="10"/>
      <c r="E28" s="10"/>
      <c r="F28" s="10"/>
      <c r="G28" s="10"/>
      <c r="H28" s="10"/>
      <c r="I28" s="10"/>
      <c r="J28" s="10"/>
      <c r="K28" s="10"/>
    </row>
    <row r="30" spans="1:11">
      <c r="A30" s="7" t="s">
        <v>1</v>
      </c>
      <c r="B30" t="s">
        <v>2</v>
      </c>
      <c r="C30" t="s">
        <v>3</v>
      </c>
      <c r="D30" t="s">
        <v>4</v>
      </c>
    </row>
    <row r="31" spans="1:11">
      <c r="A31" t="s">
        <v>5</v>
      </c>
      <c r="B31" s="4">
        <v>3192</v>
      </c>
      <c r="C31" s="6">
        <v>6790</v>
      </c>
      <c r="D31" s="6">
        <v>4.5</v>
      </c>
    </row>
    <row r="32" spans="1:11">
      <c r="A32" t="s">
        <v>6</v>
      </c>
      <c r="B32" s="4">
        <v>3964</v>
      </c>
      <c r="C32" s="6">
        <v>4995</v>
      </c>
      <c r="D32" s="6">
        <v>4.8</v>
      </c>
    </row>
    <row r="33" spans="1:4">
      <c r="A33" t="s">
        <v>7</v>
      </c>
      <c r="B33" s="4">
        <v>4945</v>
      </c>
      <c r="C33" s="6">
        <v>7999</v>
      </c>
      <c r="D33" s="6">
        <v>4.4000000000000004</v>
      </c>
    </row>
    <row r="34" spans="1:4">
      <c r="A34" t="s">
        <v>8</v>
      </c>
      <c r="B34" s="4">
        <v>136</v>
      </c>
      <c r="C34" s="6">
        <v>3599</v>
      </c>
      <c r="D34" s="6">
        <v>4.2</v>
      </c>
    </row>
    <row r="35" spans="1:4">
      <c r="A35" t="s">
        <v>9</v>
      </c>
      <c r="B35" s="4">
        <v>12237</v>
      </c>
      <c r="C35" s="6">
        <v>6276.4</v>
      </c>
      <c r="D35" s="6">
        <v>4.46</v>
      </c>
    </row>
  </sheetData>
  <mergeCells count="2">
    <mergeCell ref="A1:K3"/>
    <mergeCell ref="A4:K2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EA6CA-69AF-44D1-8F6E-09FAB0EAD97E}">
  <dimension ref="A3:C5"/>
  <sheetViews>
    <sheetView topLeftCell="A2" workbookViewId="0">
      <selection activeCell="E8" sqref="E8"/>
    </sheetView>
  </sheetViews>
  <sheetFormatPr defaultRowHeight="15"/>
  <cols>
    <col min="1" max="1" width="17.28515625" bestFit="1" customWidth="1"/>
    <col min="2" max="2" width="19" bestFit="1" customWidth="1"/>
    <col min="3" max="3" width="29.7109375" bestFit="1" customWidth="1"/>
  </cols>
  <sheetData>
    <row r="3" spans="1:3">
      <c r="A3" s="7" t="s">
        <v>10</v>
      </c>
      <c r="B3" t="s">
        <v>2</v>
      </c>
      <c r="C3" t="s">
        <v>11</v>
      </c>
    </row>
    <row r="4" spans="1:3">
      <c r="A4" t="s">
        <v>12</v>
      </c>
      <c r="B4" s="4">
        <v>12237</v>
      </c>
      <c r="C4" s="6">
        <v>44</v>
      </c>
    </row>
    <row r="5" spans="1:3">
      <c r="A5" t="s">
        <v>9</v>
      </c>
      <c r="B5" s="4">
        <v>12237</v>
      </c>
      <c r="C5" s="6">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8A61-40C4-4BC7-B47E-4AB4543EE6B5}">
  <dimension ref="A3:B8"/>
  <sheetViews>
    <sheetView topLeftCell="B2" workbookViewId="0">
      <selection activeCell="A4" sqref="A3:B14"/>
    </sheetView>
  </sheetViews>
  <sheetFormatPr defaultRowHeight="15"/>
  <cols>
    <col min="1" max="1" width="16" bestFit="1" customWidth="1"/>
    <col min="2" max="3" width="19" bestFit="1" customWidth="1"/>
  </cols>
  <sheetData>
    <row r="3" spans="1:2">
      <c r="A3" s="7" t="s">
        <v>1</v>
      </c>
      <c r="B3" t="s">
        <v>2</v>
      </c>
    </row>
    <row r="4" spans="1:2">
      <c r="A4" t="s">
        <v>7</v>
      </c>
      <c r="B4" s="4">
        <v>4945</v>
      </c>
    </row>
    <row r="5" spans="1:2">
      <c r="A5" t="s">
        <v>6</v>
      </c>
      <c r="B5" s="4">
        <v>3964</v>
      </c>
    </row>
    <row r="6" spans="1:2">
      <c r="A6" t="s">
        <v>5</v>
      </c>
      <c r="B6" s="4">
        <v>3192</v>
      </c>
    </row>
    <row r="7" spans="1:2">
      <c r="A7" t="s">
        <v>8</v>
      </c>
      <c r="B7" s="4">
        <v>136</v>
      </c>
    </row>
    <row r="8" spans="1:2">
      <c r="A8" t="s">
        <v>9</v>
      </c>
      <c r="B8" s="4">
        <v>12237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97E3-B69A-4FD0-AE38-D4D95DE717B5}">
  <dimension ref="A3:C8"/>
  <sheetViews>
    <sheetView topLeftCell="C2" workbookViewId="0">
      <selection activeCell="B7" sqref="A3:C408"/>
    </sheetView>
  </sheetViews>
  <sheetFormatPr defaultRowHeight="15"/>
  <cols>
    <col min="1" max="1" width="16" bestFit="1" customWidth="1"/>
    <col min="2" max="2" width="26.28515625" bestFit="1" customWidth="1"/>
    <col min="3" max="3" width="16.28515625" bestFit="1" customWidth="1"/>
  </cols>
  <sheetData>
    <row r="3" spans="1:3">
      <c r="A3" s="7" t="s">
        <v>1</v>
      </c>
      <c r="B3" t="s">
        <v>3</v>
      </c>
      <c r="C3" s="5" t="s">
        <v>4</v>
      </c>
    </row>
    <row r="4" spans="1:3">
      <c r="A4" t="s">
        <v>5</v>
      </c>
      <c r="B4" s="6">
        <v>6790</v>
      </c>
      <c r="C4" s="5">
        <v>4.5</v>
      </c>
    </row>
    <row r="5" spans="1:3">
      <c r="A5" t="s">
        <v>6</v>
      </c>
      <c r="B5" s="6">
        <v>4995</v>
      </c>
      <c r="C5" s="5">
        <v>4.8</v>
      </c>
    </row>
    <row r="6" spans="1:3">
      <c r="A6" t="s">
        <v>7</v>
      </c>
      <c r="B6" s="6">
        <v>7999</v>
      </c>
      <c r="C6" s="5">
        <v>4.4000000000000004</v>
      </c>
    </row>
    <row r="7" spans="1:3">
      <c r="A7" t="s">
        <v>8</v>
      </c>
      <c r="B7" s="6">
        <v>3599</v>
      </c>
      <c r="C7" s="5">
        <v>4.2</v>
      </c>
    </row>
    <row r="8" spans="1:3">
      <c r="A8" t="s">
        <v>9</v>
      </c>
      <c r="B8" s="6">
        <v>6276.4</v>
      </c>
      <c r="C8" s="5">
        <v>4.46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58ED-A3BC-44BA-B632-8FCD4513B227}">
  <dimension ref="A1"/>
  <sheetViews>
    <sheetView workbookViewId="0">
      <selection activeCell="K19" sqref="K19"/>
    </sheetView>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4EB6-CFF5-42A7-B70D-13CCCFFADF37}">
  <dimension ref="A1:J1466"/>
  <sheetViews>
    <sheetView workbookViewId="0">
      <selection activeCell="A2" sqref="A2:J1385"/>
    </sheetView>
  </sheetViews>
  <sheetFormatPr defaultColWidth="14.5703125" defaultRowHeight="15"/>
  <cols>
    <col min="8" max="8" width="14.5703125" style="6"/>
  </cols>
  <sheetData>
    <row r="1" spans="1:10" s="2" customFormat="1">
      <c r="A1" s="2" t="s">
        <v>13</v>
      </c>
      <c r="B1" s="2" t="s">
        <v>14</v>
      </c>
      <c r="C1" s="2" t="s">
        <v>1</v>
      </c>
      <c r="D1" s="2" t="s">
        <v>10</v>
      </c>
      <c r="E1" s="2" t="s">
        <v>15</v>
      </c>
      <c r="F1" s="2" t="s">
        <v>16</v>
      </c>
      <c r="G1" s="2" t="s">
        <v>17</v>
      </c>
      <c r="H1" s="2" t="s">
        <v>18</v>
      </c>
      <c r="I1" s="2" t="s">
        <v>19</v>
      </c>
      <c r="J1" s="2" t="s">
        <v>20</v>
      </c>
    </row>
    <row r="2" spans="1:10">
      <c r="A2" t="s">
        <v>21</v>
      </c>
      <c r="B2" t="s">
        <v>22</v>
      </c>
      <c r="C2" t="str">
        <f>LEFT(B2,FIND(" ",B2)-1)</f>
        <v>Wayona</v>
      </c>
      <c r="D2" t="str">
        <f>TRIM(RIGHT(E2,LEN(E2)-FIND("@",SUBSTITUTE(E2,"|","@",LEN(E2)-LEN(SUBSTITUTE(E2,"|",""))))))</f>
        <v>USBCables</v>
      </c>
      <c r="E2" t="s">
        <v>23</v>
      </c>
      <c r="F2">
        <v>399</v>
      </c>
      <c r="G2" s="1">
        <v>1099</v>
      </c>
      <c r="H2" s="6">
        <v>64</v>
      </c>
      <c r="I2">
        <v>4.2</v>
      </c>
      <c r="J2" s="1">
        <v>24269</v>
      </c>
    </row>
    <row r="3" spans="1:10">
      <c r="A3" t="s">
        <v>24</v>
      </c>
      <c r="B3" t="s">
        <v>25</v>
      </c>
      <c r="C3" t="str">
        <f>LEFT(B3,FIND(" ",B3)-1)</f>
        <v>Ambrane</v>
      </c>
      <c r="D3" t="str">
        <f>TRIM(RIGHT(E3,LEN(E3)-FIND("@",SUBSTITUTE(E3,"|","@",LEN(E3)-LEN(SUBSTITUTE(E3,"|",""))))))</f>
        <v>USBCables</v>
      </c>
      <c r="E3" t="s">
        <v>23</v>
      </c>
      <c r="F3">
        <v>199</v>
      </c>
      <c r="G3">
        <v>349</v>
      </c>
      <c r="H3" s="6">
        <v>43</v>
      </c>
      <c r="I3">
        <v>4</v>
      </c>
      <c r="J3" s="1">
        <v>43994</v>
      </c>
    </row>
    <row r="4" spans="1:10">
      <c r="A4" t="s">
        <v>26</v>
      </c>
      <c r="B4" t="s">
        <v>27</v>
      </c>
      <c r="C4" t="str">
        <f>LEFT(B4,FIND(" ",B4)-1)</f>
        <v>Sounce</v>
      </c>
      <c r="D4" t="str">
        <f>TRIM(RIGHT(E4,LEN(E4)-FIND("@",SUBSTITUTE(E4,"|","@",LEN(E4)-LEN(SUBSTITUTE(E4,"|",""))))))</f>
        <v>USBCables</v>
      </c>
      <c r="E4" t="s">
        <v>23</v>
      </c>
      <c r="F4">
        <v>199</v>
      </c>
      <c r="G4" s="1">
        <v>1899</v>
      </c>
      <c r="H4" s="6">
        <v>9</v>
      </c>
      <c r="I4">
        <v>3.9</v>
      </c>
      <c r="J4" s="1">
        <v>7928</v>
      </c>
    </row>
    <row r="5" spans="1:10">
      <c r="A5" t="s">
        <v>28</v>
      </c>
      <c r="B5" t="s">
        <v>29</v>
      </c>
      <c r="C5" t="str">
        <f>LEFT(B5,FIND(" ",B5)-1)</f>
        <v>boAt</v>
      </c>
      <c r="D5" t="str">
        <f>TRIM(RIGHT(E5,LEN(E5)-FIND("@",SUBSTITUTE(E5,"|","@",LEN(E5)-LEN(SUBSTITUTE(E5,"|",""))))))</f>
        <v>USBCables</v>
      </c>
      <c r="E5" t="s">
        <v>23</v>
      </c>
      <c r="F5">
        <v>329</v>
      </c>
      <c r="G5">
        <v>699</v>
      </c>
      <c r="H5" s="6">
        <v>53</v>
      </c>
      <c r="I5">
        <v>4.2</v>
      </c>
      <c r="J5" s="1">
        <v>94363</v>
      </c>
    </row>
    <row r="6" spans="1:10">
      <c r="A6" t="s">
        <v>30</v>
      </c>
      <c r="B6" t="s">
        <v>31</v>
      </c>
      <c r="C6" t="str">
        <f>LEFT(B6,FIND(" ",B6)-1)</f>
        <v>Portronics</v>
      </c>
      <c r="D6" t="str">
        <f>TRIM(RIGHT(E6,LEN(E6)-FIND("@",SUBSTITUTE(E6,"|","@",LEN(E6)-LEN(SUBSTITUTE(E6,"|",""))))))</f>
        <v>USBCables</v>
      </c>
      <c r="E6" t="s">
        <v>23</v>
      </c>
      <c r="F6">
        <v>154</v>
      </c>
      <c r="G6">
        <v>399</v>
      </c>
      <c r="H6" s="6">
        <v>61</v>
      </c>
      <c r="I6">
        <v>4.2</v>
      </c>
      <c r="J6" s="1">
        <v>16905</v>
      </c>
    </row>
    <row r="7" spans="1:10">
      <c r="A7" t="s">
        <v>32</v>
      </c>
      <c r="B7" t="s">
        <v>33</v>
      </c>
      <c r="C7" t="str">
        <f>LEFT(B7,FIND(" ",B7)-1)</f>
        <v>pTron</v>
      </c>
      <c r="D7" t="str">
        <f>TRIM(RIGHT(E7,LEN(E7)-FIND("@",SUBSTITUTE(E7,"|","@",LEN(E7)-LEN(SUBSTITUTE(E7,"|",""))))))</f>
        <v>USBCables</v>
      </c>
      <c r="E7" t="s">
        <v>23</v>
      </c>
      <c r="F7">
        <v>149</v>
      </c>
      <c r="G7" s="1">
        <v>1000</v>
      </c>
      <c r="H7" s="6">
        <v>85</v>
      </c>
      <c r="I7">
        <v>3.9</v>
      </c>
      <c r="J7" s="1">
        <v>24871</v>
      </c>
    </row>
    <row r="8" spans="1:10">
      <c r="A8" t="s">
        <v>34</v>
      </c>
      <c r="B8" t="s">
        <v>35</v>
      </c>
      <c r="C8" t="str">
        <f>LEFT(B8,FIND(" ",B8)-1)</f>
        <v>boAt</v>
      </c>
      <c r="D8" t="str">
        <f>TRIM(RIGHT(E8,LEN(E8)-FIND("@",SUBSTITUTE(E8,"|","@",LEN(E8)-LEN(SUBSTITUTE(E8,"|",""))))))</f>
        <v>USBCables</v>
      </c>
      <c r="E8" t="s">
        <v>23</v>
      </c>
      <c r="F8">
        <v>176.63</v>
      </c>
      <c r="G8">
        <v>499</v>
      </c>
      <c r="H8" s="6">
        <v>65</v>
      </c>
      <c r="I8">
        <v>4.0999999999999996</v>
      </c>
      <c r="J8" s="1">
        <v>15188</v>
      </c>
    </row>
    <row r="9" spans="1:10">
      <c r="A9" t="s">
        <v>36</v>
      </c>
      <c r="B9" t="s">
        <v>37</v>
      </c>
      <c r="C9" t="str">
        <f>LEFT(B9,FIND(" ",B9)-1)</f>
        <v>MI</v>
      </c>
      <c r="D9" t="str">
        <f>TRIM(RIGHT(E9,LEN(E9)-FIND("@",SUBSTITUTE(E9,"|","@",LEN(E9)-LEN(SUBSTITUTE(E9,"|",""))))))</f>
        <v>USBCables</v>
      </c>
      <c r="E9" t="s">
        <v>23</v>
      </c>
      <c r="F9">
        <v>229</v>
      </c>
      <c r="G9">
        <v>299</v>
      </c>
      <c r="H9" s="6">
        <v>23</v>
      </c>
      <c r="I9">
        <v>4.3</v>
      </c>
      <c r="J9" s="1">
        <v>30411</v>
      </c>
    </row>
    <row r="10" spans="1:10">
      <c r="A10" t="s">
        <v>38</v>
      </c>
      <c r="B10" t="s">
        <v>39</v>
      </c>
      <c r="C10" t="str">
        <f>LEFT(B10,FIND(" ",B10)-1)</f>
        <v>TP-Link</v>
      </c>
      <c r="D10" t="str">
        <f>TRIM(RIGHT(E10,LEN(E10)-FIND("@",SUBSTITUTE(E10,"|","@",LEN(E10)-LEN(SUBSTITUTE(E10,"|",""))))))</f>
        <v>WirelessUSBAdapters</v>
      </c>
      <c r="E10" t="s">
        <v>40</v>
      </c>
      <c r="F10">
        <v>499</v>
      </c>
      <c r="G10">
        <v>999</v>
      </c>
      <c r="H10" s="6">
        <v>5</v>
      </c>
      <c r="I10">
        <v>4.2</v>
      </c>
      <c r="J10" t="s">
        <v>41</v>
      </c>
    </row>
    <row r="11" spans="1:10">
      <c r="A11" t="s">
        <v>42</v>
      </c>
      <c r="B11" t="s">
        <v>43</v>
      </c>
      <c r="C11" t="str">
        <f>LEFT(B11,FIND(" ",B11)-1)</f>
        <v>Ambrane</v>
      </c>
      <c r="D11" t="str">
        <f>TRIM(RIGHT(E11,LEN(E11)-FIND("@",SUBSTITUTE(E11,"|","@",LEN(E11)-LEN(SUBSTITUTE(E11,"|",""))))))</f>
        <v>USBCables</v>
      </c>
      <c r="E11" t="s">
        <v>23</v>
      </c>
      <c r="F11">
        <v>199</v>
      </c>
      <c r="G11">
        <v>299</v>
      </c>
      <c r="H11" s="6">
        <v>33</v>
      </c>
      <c r="I11">
        <v>4</v>
      </c>
      <c r="J11" s="1">
        <v>43994</v>
      </c>
    </row>
    <row r="12" spans="1:10">
      <c r="A12" t="s">
        <v>44</v>
      </c>
      <c r="B12" t="s">
        <v>45</v>
      </c>
      <c r="C12" t="str">
        <f>LEFT(B12,FIND(" ",B12)-1)</f>
        <v>Portronics</v>
      </c>
      <c r="D12" t="str">
        <f>TRIM(RIGHT(E12,LEN(E12)-FIND("@",SUBSTITUTE(E12,"|","@",LEN(E12)-LEN(SUBSTITUTE(E12,"|",""))))))</f>
        <v>USBCables</v>
      </c>
      <c r="E12" t="s">
        <v>23</v>
      </c>
      <c r="F12">
        <v>154</v>
      </c>
      <c r="G12">
        <v>339</v>
      </c>
      <c r="H12" s="6">
        <v>55</v>
      </c>
      <c r="I12">
        <v>4.3</v>
      </c>
      <c r="J12" s="1">
        <v>13391</v>
      </c>
    </row>
    <row r="13" spans="1:10">
      <c r="A13" t="s">
        <v>46</v>
      </c>
      <c r="B13" t="s">
        <v>47</v>
      </c>
      <c r="C13" t="str">
        <f>LEFT(B13,FIND(" ",B13)-1)</f>
        <v>boAt</v>
      </c>
      <c r="D13" t="str">
        <f>TRIM(RIGHT(E13,LEN(E13)-FIND("@",SUBSTITUTE(E13,"|","@",LEN(E13)-LEN(SUBSTITUTE(E13,"|",""))))))</f>
        <v>USBCables</v>
      </c>
      <c r="E13" t="s">
        <v>23</v>
      </c>
      <c r="F13">
        <v>299</v>
      </c>
      <c r="G13">
        <v>799</v>
      </c>
      <c r="H13" s="6">
        <v>63</v>
      </c>
      <c r="I13">
        <v>4.2</v>
      </c>
      <c r="J13" s="1">
        <v>94363</v>
      </c>
    </row>
    <row r="14" spans="1:10">
      <c r="A14" t="s">
        <v>48</v>
      </c>
      <c r="B14" t="s">
        <v>49</v>
      </c>
      <c r="C14" t="str">
        <f>LEFT(B14,FIND(" ",B14)-1)</f>
        <v>AmazonBasics</v>
      </c>
      <c r="D14" t="str">
        <f>TRIM(RIGHT(E14,LEN(E14)-FIND("@",SUBSTITUTE(E14,"|","@",LEN(E14)-LEN(SUBSTITUTE(E14,"|",""))))))</f>
        <v>HDMICables</v>
      </c>
      <c r="E14" t="s">
        <v>50</v>
      </c>
      <c r="F14">
        <v>219</v>
      </c>
      <c r="G14">
        <v>700</v>
      </c>
      <c r="H14" s="6">
        <v>69</v>
      </c>
      <c r="I14">
        <v>4.4000000000000004</v>
      </c>
      <c r="J14" t="s">
        <v>51</v>
      </c>
    </row>
    <row r="15" spans="1:10">
      <c r="A15" t="s">
        <v>52</v>
      </c>
      <c r="B15" t="s">
        <v>53</v>
      </c>
      <c r="C15" t="str">
        <f>LEFT(B15,FIND(" ",B15)-1)</f>
        <v>Portronics</v>
      </c>
      <c r="D15" t="str">
        <f>TRIM(RIGHT(E15,LEN(E15)-FIND("@",SUBSTITUTE(E15,"|","@",LEN(E15)-LEN(SUBSTITUTE(E15,"|",""))))))</f>
        <v>USBCables</v>
      </c>
      <c r="E15" t="s">
        <v>23</v>
      </c>
      <c r="F15">
        <v>350</v>
      </c>
      <c r="G15">
        <v>899</v>
      </c>
      <c r="H15" s="6">
        <v>61</v>
      </c>
      <c r="I15">
        <v>4.2</v>
      </c>
      <c r="J15" s="1">
        <v>2262</v>
      </c>
    </row>
    <row r="16" spans="1:10">
      <c r="A16" t="s">
        <v>54</v>
      </c>
      <c r="B16" t="s">
        <v>55</v>
      </c>
      <c r="C16" t="str">
        <f>LEFT(B16,FIND(" ",B16)-1)</f>
        <v>Portronics</v>
      </c>
      <c r="D16" t="str">
        <f>TRIM(RIGHT(E16,LEN(E16)-FIND("@",SUBSTITUTE(E16,"|","@",LEN(E16)-LEN(SUBSTITUTE(E16,"|",""))))))</f>
        <v>USBCables</v>
      </c>
      <c r="E16" t="s">
        <v>23</v>
      </c>
      <c r="F16">
        <v>159</v>
      </c>
      <c r="G16">
        <v>399</v>
      </c>
      <c r="H16" s="6">
        <v>6</v>
      </c>
      <c r="I16">
        <v>4.0999999999999996</v>
      </c>
      <c r="J16" s="1">
        <v>4768</v>
      </c>
    </row>
    <row r="17" spans="1:10">
      <c r="A17" t="s">
        <v>56</v>
      </c>
      <c r="B17" t="s">
        <v>57</v>
      </c>
      <c r="C17" t="str">
        <f>LEFT(B17,FIND(" ",B17)-1)</f>
        <v>MI</v>
      </c>
      <c r="D17" t="str">
        <f>TRIM(RIGHT(E17,LEN(E17)-FIND("@",SUBSTITUTE(E17,"|","@",LEN(E17)-LEN(SUBSTITUTE(E17,"|",""))))))</f>
        <v>USBCables</v>
      </c>
      <c r="E17" t="s">
        <v>23</v>
      </c>
      <c r="F17">
        <v>349</v>
      </c>
      <c r="G17">
        <v>399</v>
      </c>
      <c r="H17" s="6">
        <v>13</v>
      </c>
      <c r="I17">
        <v>4.4000000000000004</v>
      </c>
      <c r="J17" s="1">
        <v>18757</v>
      </c>
    </row>
    <row r="18" spans="1:10">
      <c r="A18" t="s">
        <v>58</v>
      </c>
      <c r="B18" t="s">
        <v>59</v>
      </c>
      <c r="C18" t="str">
        <f>LEFT(B18,FIND(" ",B18)-1)</f>
        <v>MI</v>
      </c>
      <c r="D18" t="str">
        <f>TRIM(RIGHT(E18,LEN(E18)-FIND("@",SUBSTITUTE(E18,"|","@",LEN(E18)-LEN(SUBSTITUTE(E18,"|",""))))))</f>
        <v>SmartTelevisions</v>
      </c>
      <c r="E18" t="s">
        <v>60</v>
      </c>
      <c r="F18" s="1">
        <v>13999</v>
      </c>
      <c r="G18" s="1">
        <v>24999</v>
      </c>
      <c r="H18" s="6">
        <v>44</v>
      </c>
      <c r="I18">
        <v>4.2</v>
      </c>
      <c r="J18" s="1">
        <v>32840</v>
      </c>
    </row>
    <row r="19" spans="1:10">
      <c r="A19" t="s">
        <v>61</v>
      </c>
      <c r="B19" t="s">
        <v>62</v>
      </c>
      <c r="C19" t="str">
        <f>LEFT(B19,FIND(" ",B19)-1)</f>
        <v>Ambrane</v>
      </c>
      <c r="D19" t="str">
        <f>TRIM(RIGHT(E19,LEN(E19)-FIND("@",SUBSTITUTE(E19,"|","@",LEN(E19)-LEN(SUBSTITUTE(E19,"|",""))))))</f>
        <v>USBCables</v>
      </c>
      <c r="E19" t="s">
        <v>23</v>
      </c>
      <c r="F19">
        <v>249</v>
      </c>
      <c r="G19">
        <v>399</v>
      </c>
      <c r="H19" s="6">
        <v>38</v>
      </c>
      <c r="I19">
        <v>4</v>
      </c>
      <c r="J19" s="1">
        <v>43994</v>
      </c>
    </row>
    <row r="20" spans="1:10">
      <c r="A20" t="s">
        <v>63</v>
      </c>
      <c r="B20" t="s">
        <v>64</v>
      </c>
      <c r="C20" t="str">
        <f>LEFT(B20,FIND(" ",B20)-1)</f>
        <v>boAt</v>
      </c>
      <c r="D20" t="str">
        <f>TRIM(RIGHT(E20,LEN(E20)-FIND("@",SUBSTITUTE(E20,"|","@",LEN(E20)-LEN(SUBSTITUTE(E20,"|",""))))))</f>
        <v>USBCables</v>
      </c>
      <c r="E20" t="s">
        <v>23</v>
      </c>
      <c r="F20">
        <v>199</v>
      </c>
      <c r="G20">
        <v>499</v>
      </c>
      <c r="H20" s="6">
        <v>6</v>
      </c>
      <c r="I20">
        <v>4.0999999999999996</v>
      </c>
      <c r="J20" s="1">
        <v>13045</v>
      </c>
    </row>
    <row r="21" spans="1:10">
      <c r="A21" t="s">
        <v>65</v>
      </c>
      <c r="B21" t="s">
        <v>66</v>
      </c>
      <c r="C21" t="str">
        <f>LEFT(B21,FIND(" ",B21)-1)</f>
        <v>LG</v>
      </c>
      <c r="D21" t="str">
        <f>TRIM(RIGHT(E21,LEN(E21)-FIND("@",SUBSTITUTE(E21,"|","@",LEN(E21)-LEN(SUBSTITUTE(E21,"|",""))))))</f>
        <v>SmartTelevisions</v>
      </c>
      <c r="E21" t="s">
        <v>60</v>
      </c>
      <c r="F21" s="1">
        <v>13490</v>
      </c>
      <c r="G21" s="1">
        <v>21990</v>
      </c>
      <c r="H21" s="6">
        <v>39</v>
      </c>
      <c r="I21">
        <v>4.3</v>
      </c>
      <c r="J21" s="1">
        <v>11976</v>
      </c>
    </row>
    <row r="22" spans="1:10">
      <c r="A22" t="s">
        <v>67</v>
      </c>
      <c r="B22" t="s">
        <v>68</v>
      </c>
      <c r="C22" t="str">
        <f>LEFT(B22,FIND(" ",B22)-1)</f>
        <v>Duracell</v>
      </c>
      <c r="D22" t="str">
        <f>TRIM(RIGHT(E22,LEN(E22)-FIND("@",SUBSTITUTE(E22,"|","@",LEN(E22)-LEN(SUBSTITUTE(E22,"|",""))))))</f>
        <v>USBCables</v>
      </c>
      <c r="E22" t="s">
        <v>23</v>
      </c>
      <c r="F22">
        <v>970</v>
      </c>
      <c r="G22" s="1">
        <v>1799</v>
      </c>
      <c r="H22" s="6">
        <v>46</v>
      </c>
      <c r="I22">
        <v>4.5</v>
      </c>
      <c r="J22">
        <v>815</v>
      </c>
    </row>
    <row r="23" spans="1:10">
      <c r="A23" t="s">
        <v>69</v>
      </c>
      <c r="B23" t="s">
        <v>70</v>
      </c>
      <c r="C23" t="str">
        <f>LEFT(B23,FIND(" ",B23)-1)</f>
        <v>tizum</v>
      </c>
      <c r="D23" t="str">
        <f>TRIM(RIGHT(E23,LEN(E23)-FIND("@",SUBSTITUTE(E23,"|","@",LEN(E23)-LEN(SUBSTITUTE(E23,"|",""))))))</f>
        <v>HDMICables</v>
      </c>
      <c r="E23" t="s">
        <v>50</v>
      </c>
      <c r="F23">
        <v>279</v>
      </c>
      <c r="G23">
        <v>499</v>
      </c>
      <c r="H23" s="6">
        <v>44</v>
      </c>
      <c r="I23">
        <v>3.7</v>
      </c>
      <c r="J23" s="1">
        <v>10962</v>
      </c>
    </row>
    <row r="24" spans="1:10">
      <c r="A24" t="s">
        <v>71</v>
      </c>
      <c r="B24" t="s">
        <v>72</v>
      </c>
      <c r="C24" t="str">
        <f>LEFT(B24,FIND(" ",B24)-1)</f>
        <v>Samsung</v>
      </c>
      <c r="D24" t="str">
        <f>TRIM(RIGHT(E24,LEN(E24)-FIND("@",SUBSTITUTE(E24,"|","@",LEN(E24)-LEN(SUBSTITUTE(E24,"|",""))))))</f>
        <v>SmartTelevisions</v>
      </c>
      <c r="E24" t="s">
        <v>60</v>
      </c>
      <c r="F24" s="1">
        <v>13490</v>
      </c>
      <c r="G24" s="1">
        <v>22900</v>
      </c>
      <c r="H24" s="6">
        <v>41</v>
      </c>
      <c r="I24">
        <v>4.3</v>
      </c>
      <c r="J24" s="1">
        <v>16299</v>
      </c>
    </row>
    <row r="25" spans="1:10">
      <c r="A25" t="s">
        <v>73</v>
      </c>
      <c r="B25" t="s">
        <v>74</v>
      </c>
      <c r="C25" t="str">
        <f>LEFT(B25,FIND(" ",B25)-1)</f>
        <v>Flix</v>
      </c>
      <c r="D25" t="str">
        <f>TRIM(RIGHT(E25,LEN(E25)-FIND("@",SUBSTITUTE(E25,"|","@",LEN(E25)-LEN(SUBSTITUTE(E25,"|",""))))))</f>
        <v>USBCables</v>
      </c>
      <c r="E25" t="s">
        <v>23</v>
      </c>
      <c r="F25">
        <v>59</v>
      </c>
      <c r="G25">
        <v>199</v>
      </c>
      <c r="H25" s="6">
        <v>7</v>
      </c>
      <c r="I25">
        <v>4</v>
      </c>
      <c r="J25" s="1">
        <v>9378</v>
      </c>
    </row>
    <row r="26" spans="1:10">
      <c r="A26" t="s">
        <v>75</v>
      </c>
      <c r="B26" t="s">
        <v>76</v>
      </c>
      <c r="C26" t="str">
        <f>LEFT(B26,FIND(" ",B26)-1)</f>
        <v>Acer</v>
      </c>
      <c r="D26" t="str">
        <f>TRIM(RIGHT(E26,LEN(E26)-FIND("@",SUBSTITUTE(E26,"|","@",LEN(E26)-LEN(SUBSTITUTE(E26,"|",""))))))</f>
        <v>SmartTelevisions</v>
      </c>
      <c r="E26" t="s">
        <v>60</v>
      </c>
      <c r="F26" s="1">
        <v>11499</v>
      </c>
      <c r="G26" s="1">
        <v>19990</v>
      </c>
      <c r="H26" s="6">
        <v>42</v>
      </c>
      <c r="I26">
        <v>4.3</v>
      </c>
      <c r="J26" s="1">
        <v>4703</v>
      </c>
    </row>
    <row r="27" spans="1:10">
      <c r="A27" t="s">
        <v>77</v>
      </c>
      <c r="B27" t="s">
        <v>78</v>
      </c>
      <c r="C27" t="str">
        <f>LEFT(B27,FIND(" ",B27)-1)</f>
        <v>Tizum</v>
      </c>
      <c r="D27" t="str">
        <f>TRIM(RIGHT(E27,LEN(E27)-FIND("@",SUBSTITUTE(E27,"|","@",LEN(E27)-LEN(SUBSTITUTE(E27,"|",""))))))</f>
        <v>HDMICables</v>
      </c>
      <c r="E27" t="s">
        <v>50</v>
      </c>
      <c r="F27">
        <v>199</v>
      </c>
      <c r="G27">
        <v>699</v>
      </c>
      <c r="H27" s="6">
        <v>72</v>
      </c>
      <c r="I27">
        <v>4.2</v>
      </c>
      <c r="J27" s="1">
        <v>12153</v>
      </c>
    </row>
    <row r="28" spans="1:10">
      <c r="A28" t="s">
        <v>79</v>
      </c>
      <c r="B28" t="s">
        <v>80</v>
      </c>
      <c r="C28" t="str">
        <f>LEFT(B28,FIND(" ",B28)-1)</f>
        <v>OnePlus</v>
      </c>
      <c r="D28" t="str">
        <f>TRIM(RIGHT(E28,LEN(E28)-FIND("@",SUBSTITUTE(E28,"|","@",LEN(E28)-LEN(SUBSTITUTE(E28,"|",""))))))</f>
        <v>SmartTelevisions</v>
      </c>
      <c r="E28" t="s">
        <v>60</v>
      </c>
      <c r="F28" s="1">
        <v>14999</v>
      </c>
      <c r="G28" s="1">
        <v>19999</v>
      </c>
      <c r="H28" s="6">
        <v>25</v>
      </c>
      <c r="I28">
        <v>4.2</v>
      </c>
      <c r="J28" s="1">
        <v>34899</v>
      </c>
    </row>
    <row r="29" spans="1:10">
      <c r="A29" t="s">
        <v>81</v>
      </c>
      <c r="B29" t="s">
        <v>82</v>
      </c>
      <c r="C29" t="str">
        <f>LEFT(B29,FIND(" ",B29)-1)</f>
        <v>Ambrane</v>
      </c>
      <c r="D29" t="str">
        <f>TRIM(RIGHT(E29,LEN(E29)-FIND("@",SUBSTITUTE(E29,"|","@",LEN(E29)-LEN(SUBSTITUTE(E29,"|",""))))))</f>
        <v>USBCables</v>
      </c>
      <c r="E29" t="s">
        <v>23</v>
      </c>
      <c r="F29">
        <v>299</v>
      </c>
      <c r="G29">
        <v>399</v>
      </c>
      <c r="H29" s="6">
        <v>25</v>
      </c>
      <c r="I29">
        <v>4</v>
      </c>
      <c r="J29" s="1">
        <v>2766</v>
      </c>
    </row>
    <row r="30" spans="1:10">
      <c r="A30" t="s">
        <v>83</v>
      </c>
      <c r="B30" t="s">
        <v>84</v>
      </c>
      <c r="C30" t="str">
        <f>LEFT(B30,FIND(" ",B30)-1)</f>
        <v>Duracell</v>
      </c>
      <c r="D30" t="str">
        <f>TRIM(RIGHT(E30,LEN(E30)-FIND("@",SUBSTITUTE(E30,"|","@",LEN(E30)-LEN(SUBSTITUTE(E30,"|",""))))))</f>
        <v>USBCables</v>
      </c>
      <c r="E30" t="s">
        <v>23</v>
      </c>
      <c r="F30">
        <v>970</v>
      </c>
      <c r="G30" s="1">
        <v>1999</v>
      </c>
      <c r="H30" s="6">
        <v>51</v>
      </c>
      <c r="I30">
        <v>4.4000000000000004</v>
      </c>
      <c r="J30">
        <v>184</v>
      </c>
    </row>
    <row r="31" spans="1:10">
      <c r="A31" t="s">
        <v>85</v>
      </c>
      <c r="B31" t="s">
        <v>86</v>
      </c>
      <c r="C31" t="str">
        <f>LEFT(B31,FIND(" ",B31)-1)</f>
        <v>boAt</v>
      </c>
      <c r="D31" t="str">
        <f>TRIM(RIGHT(E31,LEN(E31)-FIND("@",SUBSTITUTE(E31,"|","@",LEN(E31)-LEN(SUBSTITUTE(E31,"|",""))))))</f>
        <v>USBCables</v>
      </c>
      <c r="E31" t="s">
        <v>23</v>
      </c>
      <c r="F31">
        <v>299</v>
      </c>
      <c r="G31">
        <v>999</v>
      </c>
      <c r="H31" s="6">
        <v>7</v>
      </c>
      <c r="I31">
        <v>4.3</v>
      </c>
      <c r="J31" s="1">
        <v>20850</v>
      </c>
    </row>
    <row r="32" spans="1:10">
      <c r="A32" t="s">
        <v>87</v>
      </c>
      <c r="B32" t="s">
        <v>88</v>
      </c>
      <c r="C32" t="str">
        <f>LEFT(B32,FIND(" ",B32)-1)</f>
        <v>AmazonBasics</v>
      </c>
      <c r="D32" t="str">
        <f>TRIM(RIGHT(E32,LEN(E32)-FIND("@",SUBSTITUTE(E32,"|","@",LEN(E32)-LEN(SUBSTITUTE(E32,"|",""))))))</f>
        <v>USBCables</v>
      </c>
      <c r="E32" t="s">
        <v>23</v>
      </c>
      <c r="F32">
        <v>199</v>
      </c>
      <c r="G32">
        <v>750</v>
      </c>
      <c r="H32" s="6">
        <v>73</v>
      </c>
      <c r="I32">
        <v>4.5</v>
      </c>
      <c r="J32" s="1">
        <v>74976</v>
      </c>
    </row>
    <row r="33" spans="1:10">
      <c r="A33" t="s">
        <v>89</v>
      </c>
      <c r="B33" t="s">
        <v>90</v>
      </c>
      <c r="C33" t="str">
        <f>LEFT(B33,FIND(" ",B33)-1)</f>
        <v>Ambrane</v>
      </c>
      <c r="D33" t="str">
        <f>TRIM(RIGHT(E33,LEN(E33)-FIND("@",SUBSTITUTE(E33,"|","@",LEN(E33)-LEN(SUBSTITUTE(E33,"|",""))))))</f>
        <v>USBCables</v>
      </c>
      <c r="E33" t="s">
        <v>23</v>
      </c>
      <c r="F33">
        <v>179</v>
      </c>
      <c r="G33">
        <v>499</v>
      </c>
      <c r="H33" s="6">
        <v>64</v>
      </c>
      <c r="I33">
        <v>4</v>
      </c>
      <c r="J33" s="1">
        <v>1934</v>
      </c>
    </row>
    <row r="34" spans="1:10">
      <c r="A34" t="s">
        <v>91</v>
      </c>
      <c r="B34" t="s">
        <v>92</v>
      </c>
      <c r="C34" t="str">
        <f>LEFT(B34,FIND(" ",B34)-1)</f>
        <v>Zoul</v>
      </c>
      <c r="D34" t="str">
        <f>TRIM(RIGHT(E34,LEN(E34)-FIND("@",SUBSTITUTE(E34,"|","@",LEN(E34)-LEN(SUBSTITUTE(E34,"|",""))))))</f>
        <v>USBCables</v>
      </c>
      <c r="E34" t="s">
        <v>23</v>
      </c>
      <c r="F34">
        <v>389</v>
      </c>
      <c r="G34" s="1">
        <v>1099</v>
      </c>
      <c r="H34" s="6">
        <v>65</v>
      </c>
      <c r="I34">
        <v>4.3</v>
      </c>
      <c r="J34">
        <v>974</v>
      </c>
    </row>
    <row r="35" spans="1:10">
      <c r="A35" t="s">
        <v>93</v>
      </c>
      <c r="B35" t="s">
        <v>94</v>
      </c>
      <c r="C35" t="str">
        <f>LEFT(B35,FIND(" ",B35)-1)</f>
        <v>Samsung</v>
      </c>
      <c r="D35" t="str">
        <f>TRIM(RIGHT(E35,LEN(E35)-FIND("@",SUBSTITUTE(E35,"|","@",LEN(E35)-LEN(SUBSTITUTE(E35,"|",""))))))</f>
        <v>USBCables</v>
      </c>
      <c r="E35" t="s">
        <v>23</v>
      </c>
      <c r="F35">
        <v>599</v>
      </c>
      <c r="G35">
        <v>599</v>
      </c>
      <c r="H35" s="6">
        <v>0</v>
      </c>
      <c r="I35">
        <v>4.3</v>
      </c>
      <c r="J35">
        <v>355</v>
      </c>
    </row>
    <row r="36" spans="1:10">
      <c r="A36" t="s">
        <v>95</v>
      </c>
      <c r="B36" t="s">
        <v>96</v>
      </c>
      <c r="C36" t="str">
        <f>LEFT(B36,FIND(" ",B36)-1)</f>
        <v>pTron</v>
      </c>
      <c r="D36" t="str">
        <f>TRIM(RIGHT(E36,LEN(E36)-FIND("@",SUBSTITUTE(E36,"|","@",LEN(E36)-LEN(SUBSTITUTE(E36,"|",""))))))</f>
        <v>USBCables</v>
      </c>
      <c r="E36" t="s">
        <v>23</v>
      </c>
      <c r="F36">
        <v>199</v>
      </c>
      <c r="G36">
        <v>999</v>
      </c>
      <c r="H36" s="6">
        <v>8</v>
      </c>
      <c r="I36">
        <v>3.9</v>
      </c>
      <c r="J36" s="1">
        <v>1075</v>
      </c>
    </row>
    <row r="37" spans="1:10">
      <c r="A37" t="s">
        <v>97</v>
      </c>
      <c r="B37" t="s">
        <v>98</v>
      </c>
      <c r="C37" t="str">
        <f>LEFT(B37,FIND(" ",B37)-1)</f>
        <v>pTron</v>
      </c>
      <c r="D37" t="str">
        <f>TRIM(RIGHT(E37,LEN(E37)-FIND("@",SUBSTITUTE(E37,"|","@",LEN(E37)-LEN(SUBSTITUTE(E37,"|",""))))))</f>
        <v>USBCables</v>
      </c>
      <c r="E37" t="s">
        <v>23</v>
      </c>
      <c r="F37">
        <v>99</v>
      </c>
      <c r="G37">
        <v>666.66</v>
      </c>
      <c r="H37" s="6">
        <v>85</v>
      </c>
      <c r="I37">
        <v>3.9</v>
      </c>
      <c r="J37" s="1">
        <v>24871</v>
      </c>
    </row>
    <row r="38" spans="1:10">
      <c r="A38" t="s">
        <v>99</v>
      </c>
      <c r="B38" t="s">
        <v>100</v>
      </c>
      <c r="C38" t="str">
        <f>LEFT(B38,FIND(" ",B38)-1)</f>
        <v>Amazonbasics</v>
      </c>
      <c r="D38" t="str">
        <f>TRIM(RIGHT(E38,LEN(E38)-FIND("@",SUBSTITUTE(E38,"|","@",LEN(E38)-LEN(SUBSTITUTE(E38,"|",""))))))</f>
        <v>USBCables</v>
      </c>
      <c r="E38" t="s">
        <v>23</v>
      </c>
      <c r="F38">
        <v>899</v>
      </c>
      <c r="G38" s="1">
        <v>1900</v>
      </c>
      <c r="H38" s="6">
        <v>53</v>
      </c>
      <c r="I38">
        <v>4.4000000000000004</v>
      </c>
      <c r="J38" s="1">
        <v>13552</v>
      </c>
    </row>
    <row r="39" spans="1:10">
      <c r="A39" t="s">
        <v>101</v>
      </c>
      <c r="B39" t="s">
        <v>102</v>
      </c>
      <c r="C39" t="str">
        <f>LEFT(B39,FIND(" ",B39)-1)</f>
        <v>Sounce</v>
      </c>
      <c r="D39" t="str">
        <f>TRIM(RIGHT(E39,LEN(E39)-FIND("@",SUBSTITUTE(E39,"|","@",LEN(E39)-LEN(SUBSTITUTE(E39,"|",""))))))</f>
        <v>USBCables</v>
      </c>
      <c r="E39" t="s">
        <v>23</v>
      </c>
      <c r="F39">
        <v>199</v>
      </c>
      <c r="G39">
        <v>999</v>
      </c>
      <c r="H39" s="6">
        <v>8</v>
      </c>
      <c r="I39">
        <v>4</v>
      </c>
      <c r="J39">
        <v>576</v>
      </c>
    </row>
    <row r="40" spans="1:10">
      <c r="A40" t="s">
        <v>103</v>
      </c>
      <c r="B40" t="s">
        <v>104</v>
      </c>
      <c r="C40" t="str">
        <f>LEFT(B40,FIND(" ",B40)-1)</f>
        <v>OnePlus</v>
      </c>
      <c r="D40" t="str">
        <f>TRIM(RIGHT(E40,LEN(E40)-FIND("@",SUBSTITUTE(E40,"|","@",LEN(E40)-LEN(SUBSTITUTE(E40,"|",""))))))</f>
        <v>SmartTelevisions</v>
      </c>
      <c r="E40" t="s">
        <v>60</v>
      </c>
      <c r="F40" s="1">
        <v>32999</v>
      </c>
      <c r="G40" s="1">
        <v>45999</v>
      </c>
      <c r="H40" s="6">
        <v>28</v>
      </c>
      <c r="I40">
        <v>4.2</v>
      </c>
      <c r="J40" s="1">
        <v>7298</v>
      </c>
    </row>
    <row r="41" spans="1:10">
      <c r="A41" t="s">
        <v>105</v>
      </c>
      <c r="B41" t="s">
        <v>106</v>
      </c>
      <c r="C41" t="str">
        <f>LEFT(B41,FIND(" ",B41)-1)</f>
        <v>Duracell</v>
      </c>
      <c r="D41" t="str">
        <f>TRIM(RIGHT(E41,LEN(E41)-FIND("@",SUBSTITUTE(E41,"|","@",LEN(E41)-LEN(SUBSTITUTE(E41,"|",""))))))</f>
        <v>USBCables</v>
      </c>
      <c r="E41" t="s">
        <v>23</v>
      </c>
      <c r="F41">
        <v>970</v>
      </c>
      <c r="G41" s="1">
        <v>1999</v>
      </c>
      <c r="H41" s="6">
        <v>51</v>
      </c>
      <c r="I41">
        <v>4.2</v>
      </c>
      <c r="J41">
        <v>462</v>
      </c>
    </row>
    <row r="42" spans="1:10">
      <c r="A42" t="s">
        <v>107</v>
      </c>
      <c r="B42" t="s">
        <v>108</v>
      </c>
      <c r="C42" t="str">
        <f>LEFT(B42,FIND(" ",B42)-1)</f>
        <v>AmazonBasics</v>
      </c>
      <c r="D42" t="str">
        <f>TRIM(RIGHT(E42,LEN(E42)-FIND("@",SUBSTITUTE(E42,"|","@",LEN(E42)-LEN(SUBSTITUTE(E42,"|",""))))))</f>
        <v>USBCables</v>
      </c>
      <c r="E42" t="s">
        <v>23</v>
      </c>
      <c r="F42">
        <v>209</v>
      </c>
      <c r="G42">
        <v>695</v>
      </c>
      <c r="H42" s="6">
        <v>7</v>
      </c>
      <c r="I42">
        <v>4.5</v>
      </c>
      <c r="J42" t="s">
        <v>109</v>
      </c>
    </row>
    <row r="43" spans="1:10">
      <c r="A43" t="s">
        <v>110</v>
      </c>
      <c r="B43" t="s">
        <v>111</v>
      </c>
      <c r="C43" t="str">
        <f>LEFT(B43,FIND(" ",B43)-1)</f>
        <v>Mi</v>
      </c>
      <c r="D43" t="str">
        <f>TRIM(RIGHT(E43,LEN(E43)-FIND("@",SUBSTITUTE(E43,"|","@",LEN(E43)-LEN(SUBSTITUTE(E43,"|",""))))))</f>
        <v>SmartTelevisions</v>
      </c>
      <c r="E43" t="s">
        <v>60</v>
      </c>
      <c r="F43" s="1">
        <v>19999</v>
      </c>
      <c r="G43" s="1">
        <v>34999</v>
      </c>
      <c r="H43" s="6">
        <v>43</v>
      </c>
      <c r="I43">
        <v>4.3</v>
      </c>
      <c r="J43" s="1">
        <v>27151</v>
      </c>
    </row>
    <row r="44" spans="1:10">
      <c r="A44" t="s">
        <v>112</v>
      </c>
      <c r="B44" t="s">
        <v>113</v>
      </c>
      <c r="C44" t="str">
        <f>LEFT(B44,FIND(" ",B44)-1)</f>
        <v>Wayona</v>
      </c>
      <c r="D44" t="str">
        <f>TRIM(RIGHT(E44,LEN(E44)-FIND("@",SUBSTITUTE(E44,"|","@",LEN(E44)-LEN(SUBSTITUTE(E44,"|",""))))))</f>
        <v>USBCables</v>
      </c>
      <c r="E44" t="s">
        <v>23</v>
      </c>
      <c r="F44">
        <v>399</v>
      </c>
      <c r="G44" s="1">
        <v>1099</v>
      </c>
      <c r="H44" s="6">
        <v>64</v>
      </c>
      <c r="I44">
        <v>4.2</v>
      </c>
      <c r="J44" s="1">
        <v>24269</v>
      </c>
    </row>
    <row r="45" spans="1:10">
      <c r="A45" t="s">
        <v>114</v>
      </c>
      <c r="B45" t="s">
        <v>115</v>
      </c>
      <c r="C45" t="str">
        <f>LEFT(B45,FIND(" ",B45)-1)</f>
        <v>TP-Link</v>
      </c>
      <c r="D45" t="str">
        <f>TRIM(RIGHT(E45,LEN(E45)-FIND("@",SUBSTITUTE(E45,"|","@",LEN(E45)-LEN(SUBSTITUTE(E45,"|",""))))))</f>
        <v>WirelessUSBAdapters</v>
      </c>
      <c r="E45" t="s">
        <v>40</v>
      </c>
      <c r="F45">
        <v>999</v>
      </c>
      <c r="G45" s="1">
        <v>1599</v>
      </c>
      <c r="H45" s="6">
        <v>38</v>
      </c>
      <c r="I45">
        <v>4.3</v>
      </c>
      <c r="J45" s="1">
        <v>12093</v>
      </c>
    </row>
    <row r="46" spans="1:10">
      <c r="A46" t="s">
        <v>116</v>
      </c>
      <c r="B46" t="s">
        <v>117</v>
      </c>
      <c r="C46" t="str">
        <f>LEFT(B46,FIND(" ",B46)-1)</f>
        <v>FLiX</v>
      </c>
      <c r="D46" t="str">
        <f>TRIM(RIGHT(E46,LEN(E46)-FIND("@",SUBSTITUTE(E46,"|","@",LEN(E46)-LEN(SUBSTITUTE(E46,"|",""))))))</f>
        <v>USBCables</v>
      </c>
      <c r="E46" t="s">
        <v>23</v>
      </c>
      <c r="F46">
        <v>59</v>
      </c>
      <c r="G46">
        <v>199</v>
      </c>
      <c r="H46" s="6">
        <v>7</v>
      </c>
      <c r="I46">
        <v>4</v>
      </c>
      <c r="J46" s="1">
        <v>9378</v>
      </c>
    </row>
    <row r="47" spans="1:10">
      <c r="A47" t="s">
        <v>118</v>
      </c>
      <c r="B47" t="s">
        <v>119</v>
      </c>
      <c r="C47" t="str">
        <f>LEFT(B47,FIND(" ",B47)-1)</f>
        <v>Wecool</v>
      </c>
      <c r="D47" t="str">
        <f>TRIM(RIGHT(E47,LEN(E47)-FIND("@",SUBSTITUTE(E47,"|","@",LEN(E47)-LEN(SUBSTITUTE(E47,"|",""))))))</f>
        <v>USBCables</v>
      </c>
      <c r="E47" t="s">
        <v>23</v>
      </c>
      <c r="F47">
        <v>333</v>
      </c>
      <c r="G47">
        <v>999</v>
      </c>
      <c r="H47" s="6">
        <v>67</v>
      </c>
      <c r="I47">
        <v>3.3</v>
      </c>
      <c r="J47" s="1">
        <v>9792</v>
      </c>
    </row>
    <row r="48" spans="1:10">
      <c r="A48" t="s">
        <v>120</v>
      </c>
      <c r="B48" t="s">
        <v>121</v>
      </c>
      <c r="C48" t="str">
        <f>LEFT(B48,FIND(" ",B48)-1)</f>
        <v>D-Link</v>
      </c>
      <c r="D48" t="str">
        <f>TRIM(RIGHT(E48,LEN(E48)-FIND("@",SUBSTITUTE(E48,"|","@",LEN(E48)-LEN(SUBSTITUTE(E48,"|",""))))))</f>
        <v>WirelessUSBAdapters</v>
      </c>
      <c r="E48" t="s">
        <v>40</v>
      </c>
      <c r="F48">
        <v>507</v>
      </c>
      <c r="G48" s="1">
        <v>1208</v>
      </c>
      <c r="H48" s="6">
        <v>58</v>
      </c>
      <c r="I48">
        <v>4.0999999999999996</v>
      </c>
      <c r="J48" s="1">
        <v>8131</v>
      </c>
    </row>
    <row r="49" spans="1:10">
      <c r="A49" t="s">
        <v>122</v>
      </c>
      <c r="B49" t="s">
        <v>123</v>
      </c>
      <c r="C49" t="str">
        <f>LEFT(B49,FIND(" ",B49)-1)</f>
        <v>Amazon</v>
      </c>
      <c r="D49" t="str">
        <f>TRIM(RIGHT(E49,LEN(E49)-FIND("@",SUBSTITUTE(E49,"|","@",LEN(E49)-LEN(SUBSTITUTE(E49,"|",""))))))</f>
        <v>HDMICables</v>
      </c>
      <c r="E49" t="s">
        <v>50</v>
      </c>
      <c r="F49">
        <v>309</v>
      </c>
      <c r="G49">
        <v>475</v>
      </c>
      <c r="H49" s="6">
        <v>35</v>
      </c>
      <c r="I49">
        <v>4.4000000000000004</v>
      </c>
      <c r="J49" t="s">
        <v>51</v>
      </c>
    </row>
    <row r="50" spans="1:10">
      <c r="A50" t="s">
        <v>124</v>
      </c>
      <c r="B50" t="s">
        <v>125</v>
      </c>
      <c r="C50" t="str">
        <f>LEFT(B50,FIND(" ",B50)-1)</f>
        <v>7SEVENÂ®</v>
      </c>
      <c r="D50" t="str">
        <f>TRIM(RIGHT(E50,LEN(E50)-FIND("@",SUBSTITUTE(E50,"|","@",LEN(E50)-LEN(SUBSTITUTE(E50,"|",""))))))</f>
        <v>RemoteControls</v>
      </c>
      <c r="E50" t="s">
        <v>126</v>
      </c>
      <c r="F50">
        <v>399</v>
      </c>
      <c r="G50">
        <v>999</v>
      </c>
      <c r="H50" s="6">
        <v>6</v>
      </c>
      <c r="I50">
        <v>3.6</v>
      </c>
      <c r="J50">
        <v>493</v>
      </c>
    </row>
    <row r="51" spans="1:10">
      <c r="A51" t="s">
        <v>127</v>
      </c>
      <c r="B51" t="s">
        <v>128</v>
      </c>
      <c r="C51" t="str">
        <f>LEFT(B51,FIND(" ",B51)-1)</f>
        <v>Amazonbasics</v>
      </c>
      <c r="D51" t="str">
        <f>TRIM(RIGHT(E51,LEN(E51)-FIND("@",SUBSTITUTE(E51,"|","@",LEN(E51)-LEN(SUBSTITUTE(E51,"|",""))))))</f>
        <v>USBCables</v>
      </c>
      <c r="E51" t="s">
        <v>23</v>
      </c>
      <c r="F51">
        <v>199</v>
      </c>
      <c r="G51">
        <v>395</v>
      </c>
      <c r="H51" s="6">
        <v>5</v>
      </c>
      <c r="I51">
        <v>4.2</v>
      </c>
      <c r="J51" s="1">
        <v>92595</v>
      </c>
    </row>
    <row r="52" spans="1:10">
      <c r="A52" t="s">
        <v>129</v>
      </c>
      <c r="B52" t="s">
        <v>130</v>
      </c>
      <c r="C52" t="str">
        <f>LEFT(B52,FIND(" ",B52)-1)</f>
        <v>TP-Link</v>
      </c>
      <c r="D52" t="str">
        <f>TRIM(RIGHT(E52,LEN(E52)-FIND("@",SUBSTITUTE(E52,"|","@",LEN(E52)-LEN(SUBSTITUTE(E52,"|",""))))))</f>
        <v>WirelessUSBAdapters</v>
      </c>
      <c r="E52" t="s">
        <v>40</v>
      </c>
      <c r="F52" s="1">
        <v>1199</v>
      </c>
      <c r="G52" s="1">
        <v>2199</v>
      </c>
      <c r="H52" s="6">
        <v>45</v>
      </c>
      <c r="I52">
        <v>4.4000000000000004</v>
      </c>
      <c r="J52" s="1">
        <v>24780</v>
      </c>
    </row>
    <row r="53" spans="1:10">
      <c r="A53" t="s">
        <v>131</v>
      </c>
      <c r="B53" t="s">
        <v>132</v>
      </c>
      <c r="C53" t="str">
        <f>LEFT(B53,FIND(" ",B53)-1)</f>
        <v>AmazonBasics</v>
      </c>
      <c r="D53" t="str">
        <f>TRIM(RIGHT(E53,LEN(E53)-FIND("@",SUBSTITUTE(E53,"|","@",LEN(E53)-LEN(SUBSTITUTE(E53,"|",""))))))</f>
        <v>USBCables</v>
      </c>
      <c r="E53" t="s">
        <v>23</v>
      </c>
      <c r="F53">
        <v>179</v>
      </c>
      <c r="G53">
        <v>500</v>
      </c>
      <c r="H53" s="6">
        <v>64</v>
      </c>
      <c r="I53">
        <v>4.2</v>
      </c>
      <c r="J53" s="1">
        <v>92595</v>
      </c>
    </row>
    <row r="54" spans="1:10">
      <c r="A54" t="s">
        <v>133</v>
      </c>
      <c r="B54" t="s">
        <v>134</v>
      </c>
      <c r="C54" t="str">
        <f>LEFT(B54,FIND(" ",B54)-1)</f>
        <v>AmazonBasics</v>
      </c>
      <c r="D54" t="str">
        <f>TRIM(RIGHT(E54,LEN(E54)-FIND("@",SUBSTITUTE(E54,"|","@",LEN(E54)-LEN(SUBSTITUTE(E54,"|",""))))))</f>
        <v>USBCables</v>
      </c>
      <c r="E54" t="s">
        <v>23</v>
      </c>
      <c r="F54">
        <v>799</v>
      </c>
      <c r="G54" s="1">
        <v>2100</v>
      </c>
      <c r="H54" s="6">
        <v>62</v>
      </c>
      <c r="I54">
        <v>4.3</v>
      </c>
      <c r="J54" s="1">
        <v>8188</v>
      </c>
    </row>
    <row r="55" spans="1:10">
      <c r="A55" t="s">
        <v>135</v>
      </c>
      <c r="B55" t="s">
        <v>136</v>
      </c>
      <c r="C55" t="str">
        <f>LEFT(B55,FIND(" ",B55)-1)</f>
        <v>VW</v>
      </c>
      <c r="D55" t="str">
        <f>TRIM(RIGHT(E55,LEN(E55)-FIND("@",SUBSTITUTE(E55,"|","@",LEN(E55)-LEN(SUBSTITUTE(E55,"|",""))))))</f>
        <v>StandardTelevisions</v>
      </c>
      <c r="E55" t="s">
        <v>137</v>
      </c>
      <c r="F55" s="1">
        <v>6999</v>
      </c>
      <c r="G55" s="1">
        <v>12999</v>
      </c>
      <c r="H55" s="6">
        <v>46</v>
      </c>
      <c r="I55">
        <v>4.2</v>
      </c>
      <c r="J55" s="1">
        <v>4003</v>
      </c>
    </row>
    <row r="56" spans="1:10">
      <c r="A56" t="s">
        <v>138</v>
      </c>
      <c r="B56" t="s">
        <v>139</v>
      </c>
      <c r="C56" t="str">
        <f>LEFT(B56,FIND(" ",B56)-1)</f>
        <v>Ambrane</v>
      </c>
      <c r="D56" t="str">
        <f>TRIM(RIGHT(E56,LEN(E56)-FIND("@",SUBSTITUTE(E56,"|","@",LEN(E56)-LEN(SUBSTITUTE(E56,"|",""))))))</f>
        <v>USBCables</v>
      </c>
      <c r="E56" t="s">
        <v>23</v>
      </c>
      <c r="F56">
        <v>199</v>
      </c>
      <c r="G56">
        <v>349</v>
      </c>
      <c r="H56" s="6">
        <v>43</v>
      </c>
      <c r="I56">
        <v>4.0999999999999996</v>
      </c>
      <c r="J56">
        <v>314</v>
      </c>
    </row>
    <row r="57" spans="1:10">
      <c r="A57" t="s">
        <v>140</v>
      </c>
      <c r="B57" t="s">
        <v>141</v>
      </c>
      <c r="C57" t="str">
        <f>LEFT(B57,FIND(" ",B57)-1)</f>
        <v>Tata</v>
      </c>
      <c r="D57" t="str">
        <f>TRIM(RIGHT(E57,LEN(E57)-FIND("@",SUBSTITUTE(E57,"|","@",LEN(E57)-LEN(SUBSTITUTE(E57,"|",""))))))</f>
        <v>RemoteControls</v>
      </c>
      <c r="E57" t="s">
        <v>126</v>
      </c>
      <c r="F57">
        <v>230</v>
      </c>
      <c r="G57">
        <v>499</v>
      </c>
      <c r="H57" s="6">
        <v>54</v>
      </c>
      <c r="I57">
        <v>3.7</v>
      </c>
      <c r="J57" s="1">
        <v>2960</v>
      </c>
    </row>
    <row r="58" spans="1:10">
      <c r="A58" t="s">
        <v>142</v>
      </c>
      <c r="B58" t="s">
        <v>143</v>
      </c>
      <c r="C58" t="str">
        <f>LEFT(B58,FIND(" ",B58)-1)</f>
        <v>TP-LINK</v>
      </c>
      <c r="D58" t="str">
        <f>TRIM(RIGHT(E58,LEN(E58)-FIND("@",SUBSTITUTE(E58,"|","@",LEN(E58)-LEN(SUBSTITUTE(E58,"|",""))))))</f>
        <v>WirelessUSBAdapters</v>
      </c>
      <c r="E58" t="s">
        <v>40</v>
      </c>
      <c r="F58">
        <v>649</v>
      </c>
      <c r="G58" s="1">
        <v>1399</v>
      </c>
      <c r="H58" s="6">
        <v>54</v>
      </c>
      <c r="I58">
        <v>4.2</v>
      </c>
      <c r="J58" t="s">
        <v>41</v>
      </c>
    </row>
    <row r="59" spans="1:10">
      <c r="A59" t="s">
        <v>144</v>
      </c>
      <c r="B59" t="s">
        <v>145</v>
      </c>
      <c r="C59" t="str">
        <f>LEFT(B59,FIND(" ",B59)-1)</f>
        <v>OnePlus</v>
      </c>
      <c r="D59" t="str">
        <f>TRIM(RIGHT(E59,LEN(E59)-FIND("@",SUBSTITUTE(E59,"|","@",LEN(E59)-LEN(SUBSTITUTE(E59,"|",""))))))</f>
        <v>SmartTelevisions</v>
      </c>
      <c r="E59" t="s">
        <v>60</v>
      </c>
      <c r="F59" s="1">
        <v>15999</v>
      </c>
      <c r="G59" s="1">
        <v>21999</v>
      </c>
      <c r="H59" s="6">
        <v>27</v>
      </c>
      <c r="I59">
        <v>4.2</v>
      </c>
      <c r="J59" s="1">
        <v>34899</v>
      </c>
    </row>
    <row r="60" spans="1:10">
      <c r="A60" t="s">
        <v>146</v>
      </c>
      <c r="B60" t="s">
        <v>147</v>
      </c>
      <c r="C60" t="str">
        <f>LEFT(B60,FIND(" ",B60)-1)</f>
        <v>Wecool</v>
      </c>
      <c r="D60" t="str">
        <f>TRIM(RIGHT(E60,LEN(E60)-FIND("@",SUBSTITUTE(E60,"|","@",LEN(E60)-LEN(SUBSTITUTE(E60,"|",""))))))</f>
        <v>USBCables</v>
      </c>
      <c r="E60" t="s">
        <v>23</v>
      </c>
      <c r="F60">
        <v>348</v>
      </c>
      <c r="G60" s="1">
        <v>1499</v>
      </c>
      <c r="H60" s="6">
        <v>77</v>
      </c>
      <c r="I60">
        <v>4.2</v>
      </c>
      <c r="J60">
        <v>656</v>
      </c>
    </row>
    <row r="61" spans="1:10">
      <c r="A61" t="s">
        <v>148</v>
      </c>
      <c r="B61" t="s">
        <v>149</v>
      </c>
      <c r="C61" t="str">
        <f>LEFT(B61,FIND(" ",B61)-1)</f>
        <v>Portronics</v>
      </c>
      <c r="D61" t="str">
        <f>TRIM(RIGHT(E61,LEN(E61)-FIND("@",SUBSTITUTE(E61,"|","@",LEN(E61)-LEN(SUBSTITUTE(E61,"|",""))))))</f>
        <v>USBCables</v>
      </c>
      <c r="E61" t="s">
        <v>23</v>
      </c>
      <c r="F61">
        <v>154</v>
      </c>
      <c r="G61">
        <v>349</v>
      </c>
      <c r="H61" s="6">
        <v>56</v>
      </c>
      <c r="I61">
        <v>4.3</v>
      </c>
      <c r="J61" s="1">
        <v>7064</v>
      </c>
    </row>
    <row r="62" spans="1:10">
      <c r="A62" t="s">
        <v>150</v>
      </c>
      <c r="B62" t="s">
        <v>151</v>
      </c>
      <c r="C62" t="str">
        <f>LEFT(B62,FIND(" ",B62)-1)</f>
        <v>Airtel</v>
      </c>
      <c r="D62" t="str">
        <f>TRIM(RIGHT(E62,LEN(E62)-FIND("@",SUBSTITUTE(E62,"|","@",LEN(E62)-LEN(SUBSTITUTE(E62,"|",""))))))</f>
        <v>RemoteControls</v>
      </c>
      <c r="E62" t="s">
        <v>126</v>
      </c>
      <c r="F62">
        <v>179</v>
      </c>
      <c r="G62">
        <v>799</v>
      </c>
      <c r="H62" s="6">
        <v>78</v>
      </c>
      <c r="I62">
        <v>3.7</v>
      </c>
      <c r="J62" s="1">
        <v>2201</v>
      </c>
    </row>
    <row r="63" spans="1:10">
      <c r="A63" t="s">
        <v>152</v>
      </c>
      <c r="B63" t="s">
        <v>153</v>
      </c>
      <c r="C63" t="str">
        <f>LEFT(B63,FIND(" ",B63)-1)</f>
        <v>Samsung</v>
      </c>
      <c r="D63" t="str">
        <f>TRIM(RIGHT(E63,LEN(E63)-FIND("@",SUBSTITUTE(E63,"|","@",LEN(E63)-LEN(SUBSTITUTE(E63,"|",""))))))</f>
        <v>SmartTelevisions</v>
      </c>
      <c r="E63" t="s">
        <v>60</v>
      </c>
      <c r="F63" s="1">
        <v>32990</v>
      </c>
      <c r="G63" s="1">
        <v>47900</v>
      </c>
      <c r="H63" s="6">
        <v>31</v>
      </c>
      <c r="I63">
        <v>4.3</v>
      </c>
      <c r="J63" s="1">
        <v>7109</v>
      </c>
    </row>
    <row r="64" spans="1:10">
      <c r="A64" t="s">
        <v>154</v>
      </c>
      <c r="B64" t="s">
        <v>155</v>
      </c>
      <c r="C64" t="str">
        <f>LEFT(B64,FIND(" ",B64)-1)</f>
        <v>Lapster</v>
      </c>
      <c r="D64" t="str">
        <f>TRIM(RIGHT(E64,LEN(E64)-FIND("@",SUBSTITUTE(E64,"|","@",LEN(E64)-LEN(SUBSTITUTE(E64,"|",""))))))</f>
        <v>USBCables</v>
      </c>
      <c r="E64" t="s">
        <v>23</v>
      </c>
      <c r="F64">
        <v>139</v>
      </c>
      <c r="G64">
        <v>999</v>
      </c>
      <c r="H64" s="6">
        <v>86</v>
      </c>
      <c r="I64">
        <v>4</v>
      </c>
      <c r="J64" s="1">
        <v>1313</v>
      </c>
    </row>
    <row r="65" spans="1:10">
      <c r="A65" t="s">
        <v>156</v>
      </c>
      <c r="B65" t="s">
        <v>157</v>
      </c>
      <c r="C65" t="str">
        <f>LEFT(B65,FIND(" ",B65)-1)</f>
        <v>AmazonBasics</v>
      </c>
      <c r="D65" t="str">
        <f>TRIM(RIGHT(E65,LEN(E65)-FIND("@",SUBSTITUTE(E65,"|","@",LEN(E65)-LEN(SUBSTITUTE(E65,"|",""))))))</f>
        <v>USBCables</v>
      </c>
      <c r="E65" t="s">
        <v>23</v>
      </c>
      <c r="F65">
        <v>329</v>
      </c>
      <c r="G65">
        <v>845</v>
      </c>
      <c r="H65" s="6">
        <v>61</v>
      </c>
      <c r="I65">
        <v>4.2</v>
      </c>
      <c r="J65" s="1">
        <v>29746</v>
      </c>
    </row>
    <row r="66" spans="1:10">
      <c r="A66" t="s">
        <v>158</v>
      </c>
      <c r="B66" t="s">
        <v>159</v>
      </c>
      <c r="C66" t="str">
        <f>LEFT(B66,FIND(" ",B66)-1)</f>
        <v>Redmi</v>
      </c>
      <c r="D66" t="str">
        <f>TRIM(RIGHT(E66,LEN(E66)-FIND("@",SUBSTITUTE(E66,"|","@",LEN(E66)-LEN(SUBSTITUTE(E66,"|",""))))))</f>
        <v>SmartTelevisions</v>
      </c>
      <c r="E66" t="s">
        <v>60</v>
      </c>
      <c r="F66" s="1">
        <v>13999</v>
      </c>
      <c r="G66" s="1">
        <v>24999</v>
      </c>
      <c r="H66" s="6">
        <v>44</v>
      </c>
      <c r="I66">
        <v>4.2</v>
      </c>
      <c r="J66" s="1">
        <v>45238</v>
      </c>
    </row>
    <row r="67" spans="1:10">
      <c r="A67" t="s">
        <v>160</v>
      </c>
      <c r="B67" t="s">
        <v>161</v>
      </c>
      <c r="C67" t="str">
        <f>LEFT(B67,FIND(" ",B67)-1)</f>
        <v>Amazon</v>
      </c>
      <c r="D67" t="str">
        <f>TRIM(RIGHT(E67,LEN(E67)-FIND("@",SUBSTITUTE(E67,"|","@",LEN(E67)-LEN(SUBSTITUTE(E67,"|",""))))))</f>
        <v>HDMICables</v>
      </c>
      <c r="E67" t="s">
        <v>50</v>
      </c>
      <c r="F67">
        <v>309</v>
      </c>
      <c r="G67" s="1">
        <v>1400</v>
      </c>
      <c r="H67" s="6">
        <v>78</v>
      </c>
      <c r="I67">
        <v>4.4000000000000004</v>
      </c>
      <c r="J67" t="s">
        <v>51</v>
      </c>
    </row>
    <row r="68" spans="1:10">
      <c r="A68" t="s">
        <v>162</v>
      </c>
      <c r="B68" t="s">
        <v>163</v>
      </c>
      <c r="C68" t="str">
        <f>LEFT(B68,FIND(" ",B68)-1)</f>
        <v>Portronics</v>
      </c>
      <c r="D68" t="str">
        <f>TRIM(RIGHT(E68,LEN(E68)-FIND("@",SUBSTITUTE(E68,"|","@",LEN(E68)-LEN(SUBSTITUTE(E68,"|",""))))))</f>
        <v>USBCables</v>
      </c>
      <c r="E68" t="s">
        <v>23</v>
      </c>
      <c r="F68">
        <v>263</v>
      </c>
      <c r="G68">
        <v>699</v>
      </c>
      <c r="H68" s="6">
        <v>62</v>
      </c>
      <c r="I68">
        <v>4.0999999999999996</v>
      </c>
      <c r="J68">
        <v>450</v>
      </c>
    </row>
    <row r="69" spans="1:10">
      <c r="A69" t="s">
        <v>164</v>
      </c>
      <c r="B69" t="s">
        <v>165</v>
      </c>
      <c r="C69" t="str">
        <f>LEFT(B69,FIND(" ",B69)-1)</f>
        <v>Acer</v>
      </c>
      <c r="D69" t="str">
        <f>TRIM(RIGHT(E69,LEN(E69)-FIND("@",SUBSTITUTE(E69,"|","@",LEN(E69)-LEN(SUBSTITUTE(E69,"|",""))))))</f>
        <v>StandardTelevisions</v>
      </c>
      <c r="E69" t="s">
        <v>137</v>
      </c>
      <c r="F69" s="1">
        <v>7999</v>
      </c>
      <c r="G69" s="1">
        <v>14990</v>
      </c>
      <c r="H69" s="6">
        <v>47</v>
      </c>
      <c r="I69">
        <v>4.3</v>
      </c>
      <c r="J69">
        <v>457</v>
      </c>
    </row>
    <row r="70" spans="1:10">
      <c r="A70" t="s">
        <v>166</v>
      </c>
      <c r="B70" t="s">
        <v>167</v>
      </c>
      <c r="C70" t="str">
        <f>LEFT(B70,FIND(" ",B70)-1)</f>
        <v>Model-P4</v>
      </c>
      <c r="D70" t="str">
        <f>TRIM(RIGHT(E70,LEN(E70)-FIND("@",SUBSTITUTE(E70,"|","@",LEN(E70)-LEN(SUBSTITUTE(E70,"|",""))))))</f>
        <v>TVWall&amp;CeilingMounts</v>
      </c>
      <c r="E70" t="s">
        <v>168</v>
      </c>
      <c r="F70" s="1">
        <v>1599</v>
      </c>
      <c r="G70" s="1">
        <v>2999</v>
      </c>
      <c r="H70" s="6">
        <v>47</v>
      </c>
      <c r="I70">
        <v>4.2</v>
      </c>
      <c r="J70" s="1">
        <v>2727</v>
      </c>
    </row>
    <row r="71" spans="1:10">
      <c r="A71" t="s">
        <v>169</v>
      </c>
      <c r="B71" t="s">
        <v>170</v>
      </c>
      <c r="C71" t="str">
        <f>LEFT(B71,FIND(" ",B71)-1)</f>
        <v>Amazon</v>
      </c>
      <c r="D71" t="str">
        <f>TRIM(RIGHT(E71,LEN(E71)-FIND("@",SUBSTITUTE(E71,"|","@",LEN(E71)-LEN(SUBSTITUTE(E71,"|",""))))))</f>
        <v>USBCables</v>
      </c>
      <c r="E71" t="s">
        <v>23</v>
      </c>
      <c r="F71">
        <v>219</v>
      </c>
      <c r="G71">
        <v>700</v>
      </c>
      <c r="H71" s="6">
        <v>69</v>
      </c>
      <c r="I71">
        <v>4.3</v>
      </c>
      <c r="J71" s="1">
        <v>20053</v>
      </c>
    </row>
    <row r="72" spans="1:10">
      <c r="A72" t="s">
        <v>171</v>
      </c>
      <c r="B72" t="s">
        <v>172</v>
      </c>
      <c r="C72" t="str">
        <f>LEFT(B72,FIND(" ",B72)-1)</f>
        <v>oraimo</v>
      </c>
      <c r="D72" t="str">
        <f>TRIM(RIGHT(E72,LEN(E72)-FIND("@",SUBSTITUTE(E72,"|","@",LEN(E72)-LEN(SUBSTITUTE(E72,"|",""))))))</f>
        <v>USBCables</v>
      </c>
      <c r="E72" t="s">
        <v>23</v>
      </c>
      <c r="F72">
        <v>349</v>
      </c>
      <c r="G72">
        <v>899</v>
      </c>
      <c r="H72" s="6">
        <v>61</v>
      </c>
      <c r="I72">
        <v>4.5</v>
      </c>
      <c r="J72">
        <v>149</v>
      </c>
    </row>
    <row r="73" spans="1:10">
      <c r="A73" t="s">
        <v>173</v>
      </c>
      <c r="B73" t="s">
        <v>174</v>
      </c>
      <c r="C73" t="str">
        <f>LEFT(B73,FIND(" ",B73)-1)</f>
        <v>CEDO</v>
      </c>
      <c r="D73" t="str">
        <f>TRIM(RIGHT(E73,LEN(E73)-FIND("@",SUBSTITUTE(E73,"|","@",LEN(E73)-LEN(SUBSTITUTE(E73,"|",""))))))</f>
        <v>USBCables</v>
      </c>
      <c r="E73" t="s">
        <v>23</v>
      </c>
      <c r="F73">
        <v>349</v>
      </c>
      <c r="G73">
        <v>599</v>
      </c>
      <c r="H73" s="6">
        <v>42</v>
      </c>
      <c r="I73">
        <v>4.0999999999999996</v>
      </c>
      <c r="J73">
        <v>210</v>
      </c>
    </row>
    <row r="74" spans="1:10">
      <c r="A74" t="s">
        <v>175</v>
      </c>
      <c r="B74" t="s">
        <v>176</v>
      </c>
      <c r="C74" t="str">
        <f>LEFT(B74,FIND(" ",B74)-1)</f>
        <v>Redmi</v>
      </c>
      <c r="D74" t="str">
        <f>TRIM(RIGHT(E74,LEN(E74)-FIND("@",SUBSTITUTE(E74,"|","@",LEN(E74)-LEN(SUBSTITUTE(E74,"|",""))))))</f>
        <v>SmartTelevisions</v>
      </c>
      <c r="E74" t="s">
        <v>60</v>
      </c>
      <c r="F74" s="1">
        <v>26999</v>
      </c>
      <c r="G74" s="1">
        <v>42999</v>
      </c>
      <c r="H74" s="6">
        <v>37</v>
      </c>
      <c r="I74">
        <v>4.2</v>
      </c>
      <c r="J74" s="1">
        <v>45238</v>
      </c>
    </row>
    <row r="75" spans="1:10">
      <c r="A75" t="s">
        <v>177</v>
      </c>
      <c r="B75" t="s">
        <v>178</v>
      </c>
      <c r="C75" t="str">
        <f>LEFT(B75,FIND(" ",B75)-1)</f>
        <v>Pinnaclz</v>
      </c>
      <c r="D75" t="str">
        <f>TRIM(RIGHT(E75,LEN(E75)-FIND("@",SUBSTITUTE(E75,"|","@",LEN(E75)-LEN(SUBSTITUTE(E75,"|",""))))))</f>
        <v>USBCables</v>
      </c>
      <c r="E75" t="s">
        <v>23</v>
      </c>
      <c r="F75">
        <v>115</v>
      </c>
      <c r="G75">
        <v>499</v>
      </c>
      <c r="H75" s="6">
        <v>77</v>
      </c>
      <c r="I75">
        <v>4</v>
      </c>
      <c r="J75" s="1">
        <v>7732</v>
      </c>
    </row>
    <row r="76" spans="1:10">
      <c r="A76" t="s">
        <v>179</v>
      </c>
      <c r="B76" t="s">
        <v>180</v>
      </c>
      <c r="C76" t="str">
        <f>LEFT(B76,FIND(" ",B76)-1)</f>
        <v>boAt</v>
      </c>
      <c r="D76" t="str">
        <f>TRIM(RIGHT(E76,LEN(E76)-FIND("@",SUBSTITUTE(E76,"|","@",LEN(E76)-LEN(SUBSTITUTE(E76,"|",""))))))</f>
        <v>USBCables</v>
      </c>
      <c r="E76" t="s">
        <v>23</v>
      </c>
      <c r="F76">
        <v>399</v>
      </c>
      <c r="G76">
        <v>999</v>
      </c>
      <c r="H76" s="6">
        <v>6</v>
      </c>
      <c r="I76">
        <v>4.0999999999999996</v>
      </c>
      <c r="J76" s="1">
        <v>1780</v>
      </c>
    </row>
    <row r="77" spans="1:10">
      <c r="A77" t="s">
        <v>181</v>
      </c>
      <c r="B77" t="s">
        <v>182</v>
      </c>
      <c r="C77" t="str">
        <f>LEFT(B77,FIND(" ",B77)-1)</f>
        <v>Ambrane</v>
      </c>
      <c r="D77" t="str">
        <f>TRIM(RIGHT(E77,LEN(E77)-FIND("@",SUBSTITUTE(E77,"|","@",LEN(E77)-LEN(SUBSTITUTE(E77,"|",""))))))</f>
        <v>USBCables</v>
      </c>
      <c r="E77" t="s">
        <v>23</v>
      </c>
      <c r="F77">
        <v>199</v>
      </c>
      <c r="G77">
        <v>499</v>
      </c>
      <c r="H77" s="6">
        <v>6</v>
      </c>
      <c r="I77">
        <v>4.0999999999999996</v>
      </c>
      <c r="J77">
        <v>602</v>
      </c>
    </row>
    <row r="78" spans="1:10">
      <c r="A78" t="s">
        <v>183</v>
      </c>
      <c r="B78" t="s">
        <v>184</v>
      </c>
      <c r="C78" t="str">
        <f>LEFT(B78,FIND(" ",B78)-1)</f>
        <v>Ambrane</v>
      </c>
      <c r="D78" t="str">
        <f>TRIM(RIGHT(E78,LEN(E78)-FIND("@",SUBSTITUTE(E78,"|","@",LEN(E78)-LEN(SUBSTITUTE(E78,"|",""))))))</f>
        <v>USBCables</v>
      </c>
      <c r="E78" t="s">
        <v>23</v>
      </c>
      <c r="F78">
        <v>179</v>
      </c>
      <c r="G78">
        <v>399</v>
      </c>
      <c r="H78" s="6">
        <v>55</v>
      </c>
      <c r="I78">
        <v>4</v>
      </c>
      <c r="J78" s="1">
        <v>1423</v>
      </c>
    </row>
    <row r="79" spans="1:10">
      <c r="A79" t="s">
        <v>185</v>
      </c>
      <c r="B79" t="s">
        <v>186</v>
      </c>
      <c r="C79" t="str">
        <f>LEFT(B79,FIND(" ",B79)-1)</f>
        <v>TCL</v>
      </c>
      <c r="D79" t="str">
        <f>TRIM(RIGHT(E79,LEN(E79)-FIND("@",SUBSTITUTE(E79,"|","@",LEN(E79)-LEN(SUBSTITUTE(E79,"|",""))))))</f>
        <v>SmartTelevisions</v>
      </c>
      <c r="E79" t="s">
        <v>60</v>
      </c>
      <c r="F79" s="1">
        <v>10901</v>
      </c>
      <c r="G79" s="1">
        <v>30990</v>
      </c>
      <c r="H79" s="6">
        <v>65</v>
      </c>
      <c r="I79">
        <v>4.0999999999999996</v>
      </c>
      <c r="J79">
        <v>398</v>
      </c>
    </row>
    <row r="80" spans="1:10">
      <c r="A80" t="s">
        <v>187</v>
      </c>
      <c r="B80" t="s">
        <v>188</v>
      </c>
      <c r="C80" t="str">
        <f>LEFT(B80,FIND(" ",B80)-1)</f>
        <v>SWAPKART</v>
      </c>
      <c r="D80" t="str">
        <f>TRIM(RIGHT(E80,LEN(E80)-FIND("@",SUBSTITUTE(E80,"|","@",LEN(E80)-LEN(SUBSTITUTE(E80,"|",""))))))</f>
        <v>USBCables</v>
      </c>
      <c r="E80" t="s">
        <v>23</v>
      </c>
      <c r="F80">
        <v>209</v>
      </c>
      <c r="G80">
        <v>499</v>
      </c>
      <c r="H80" s="6">
        <v>58</v>
      </c>
      <c r="I80">
        <v>3.9</v>
      </c>
      <c r="J80">
        <v>536</v>
      </c>
    </row>
    <row r="81" spans="1:10">
      <c r="A81" t="s">
        <v>189</v>
      </c>
      <c r="B81" t="s">
        <v>190</v>
      </c>
      <c r="C81" t="str">
        <f>LEFT(B81,FIND(" ",B81)-1)</f>
        <v>Firestick</v>
      </c>
      <c r="D81" t="str">
        <f>TRIM(RIGHT(E81,LEN(E81)-FIND("@",SUBSTITUTE(E81,"|","@",LEN(E81)-LEN(SUBSTITUTE(E81,"|",""))))))</f>
        <v>RemoteControls</v>
      </c>
      <c r="E81" t="s">
        <v>126</v>
      </c>
      <c r="F81" s="1">
        <v>1434</v>
      </c>
      <c r="G81" s="1">
        <v>3999</v>
      </c>
      <c r="H81" s="6">
        <v>64</v>
      </c>
      <c r="I81">
        <v>4</v>
      </c>
      <c r="J81">
        <v>32</v>
      </c>
    </row>
    <row r="82" spans="1:10">
      <c r="A82" t="s">
        <v>191</v>
      </c>
      <c r="B82" t="s">
        <v>192</v>
      </c>
      <c r="C82" t="str">
        <f>LEFT(B82,FIND(" ",B82)-1)</f>
        <v>Wayona</v>
      </c>
      <c r="D82" t="str">
        <f>TRIM(RIGHT(E82,LEN(E82)-FIND("@",SUBSTITUTE(E82,"|","@",LEN(E82)-LEN(SUBSTITUTE(E82,"|",""))))))</f>
        <v>USBCables</v>
      </c>
      <c r="E82" t="s">
        <v>23</v>
      </c>
      <c r="F82">
        <v>399</v>
      </c>
      <c r="G82" s="1">
        <v>1099</v>
      </c>
      <c r="H82" s="6">
        <v>64</v>
      </c>
      <c r="I82">
        <v>4.2</v>
      </c>
      <c r="J82" s="1">
        <v>24269</v>
      </c>
    </row>
    <row r="83" spans="1:10">
      <c r="A83" t="s">
        <v>193</v>
      </c>
      <c r="B83" t="s">
        <v>194</v>
      </c>
      <c r="C83" t="str">
        <f>LEFT(B83,FIND(" ",B83)-1)</f>
        <v>Flix</v>
      </c>
      <c r="D83" t="str">
        <f>TRIM(RIGHT(E83,LEN(E83)-FIND("@",SUBSTITUTE(E83,"|","@",LEN(E83)-LEN(SUBSTITUTE(E83,"|",""))))))</f>
        <v>USBCables</v>
      </c>
      <c r="E83" t="s">
        <v>23</v>
      </c>
      <c r="F83">
        <v>139</v>
      </c>
      <c r="G83">
        <v>249</v>
      </c>
      <c r="H83" s="6">
        <v>44</v>
      </c>
      <c r="I83">
        <v>4</v>
      </c>
      <c r="J83" s="1">
        <v>9378</v>
      </c>
    </row>
    <row r="84" spans="1:10">
      <c r="A84" t="s">
        <v>195</v>
      </c>
      <c r="B84" t="s">
        <v>196</v>
      </c>
      <c r="C84" t="str">
        <f>LEFT(B84,FIND(" ",B84)-1)</f>
        <v>SKYWALL</v>
      </c>
      <c r="D84" t="str">
        <f>TRIM(RIGHT(E84,LEN(E84)-FIND("@",SUBSTITUTE(E84,"|","@",LEN(E84)-LEN(SUBSTITUTE(E84,"|",""))))))</f>
        <v>SmartTelevisions</v>
      </c>
      <c r="E84" t="s">
        <v>60</v>
      </c>
      <c r="F84" s="1">
        <v>7299</v>
      </c>
      <c r="G84" s="1">
        <v>19125</v>
      </c>
      <c r="H84" s="6">
        <v>62</v>
      </c>
      <c r="I84">
        <v>3.4</v>
      </c>
      <c r="J84">
        <v>902</v>
      </c>
    </row>
    <row r="85" spans="1:10">
      <c r="A85" t="s">
        <v>197</v>
      </c>
      <c r="B85" t="s">
        <v>198</v>
      </c>
      <c r="C85" t="str">
        <f>LEFT(B85,FIND(" ",B85)-1)</f>
        <v>boAt</v>
      </c>
      <c r="D85" t="str">
        <f>TRIM(RIGHT(E85,LEN(E85)-FIND("@",SUBSTITUTE(E85,"|","@",LEN(E85)-LEN(SUBSTITUTE(E85,"|",""))))))</f>
        <v>USBCables</v>
      </c>
      <c r="E85" t="s">
        <v>23</v>
      </c>
      <c r="F85">
        <v>299</v>
      </c>
      <c r="G85">
        <v>799</v>
      </c>
      <c r="H85" s="6">
        <v>63</v>
      </c>
      <c r="I85">
        <v>4.4000000000000004</v>
      </c>
      <c r="J85" s="1">
        <v>28791</v>
      </c>
    </row>
    <row r="86" spans="1:10">
      <c r="A86" t="s">
        <v>199</v>
      </c>
      <c r="B86" t="s">
        <v>200</v>
      </c>
      <c r="C86" t="str">
        <f>LEFT(B86,FIND(" ",B86)-1)</f>
        <v>Wayona</v>
      </c>
      <c r="D86" t="str">
        <f>TRIM(RIGHT(E86,LEN(E86)-FIND("@",SUBSTITUTE(E86,"|","@",LEN(E86)-LEN(SUBSTITUTE(E86,"|",""))))))</f>
        <v>USBCables</v>
      </c>
      <c r="E86" t="s">
        <v>23</v>
      </c>
      <c r="F86">
        <v>325</v>
      </c>
      <c r="G86" s="1">
        <v>1299</v>
      </c>
      <c r="H86" s="6">
        <v>75</v>
      </c>
      <c r="I86">
        <v>4.2</v>
      </c>
      <c r="J86" s="1">
        <v>10576</v>
      </c>
    </row>
    <row r="87" spans="1:10">
      <c r="A87" t="s">
        <v>201</v>
      </c>
      <c r="B87" t="s">
        <v>202</v>
      </c>
      <c r="C87" t="str">
        <f>LEFT(B87,FIND(" ",B87)-1)</f>
        <v>OnePlus</v>
      </c>
      <c r="D87" t="str">
        <f>TRIM(RIGHT(E87,LEN(E87)-FIND("@",SUBSTITUTE(E87,"|","@",LEN(E87)-LEN(SUBSTITUTE(E87,"|",""))))))</f>
        <v>SmartTelevisions</v>
      </c>
      <c r="E87" t="s">
        <v>60</v>
      </c>
      <c r="F87" s="1">
        <v>29999</v>
      </c>
      <c r="G87" s="1">
        <v>39999</v>
      </c>
      <c r="H87" s="6">
        <v>25</v>
      </c>
      <c r="I87">
        <v>4.2</v>
      </c>
      <c r="J87" s="1">
        <v>7298</v>
      </c>
    </row>
    <row r="88" spans="1:10">
      <c r="A88" t="s">
        <v>203</v>
      </c>
      <c r="B88" t="s">
        <v>204</v>
      </c>
      <c r="C88" t="str">
        <f>LEFT(B88,FIND(" ",B88)-1)</f>
        <v>Acer</v>
      </c>
      <c r="D88" t="str">
        <f>TRIM(RIGHT(E88,LEN(E88)-FIND("@",SUBSTITUTE(E88,"|","@",LEN(E88)-LEN(SUBSTITUTE(E88,"|",""))))))</f>
        <v>SmartTelevisions</v>
      </c>
      <c r="E88" t="s">
        <v>60</v>
      </c>
      <c r="F88" s="1">
        <v>27999</v>
      </c>
      <c r="G88" s="1">
        <v>40990</v>
      </c>
      <c r="H88" s="6">
        <v>32</v>
      </c>
      <c r="I88">
        <v>4.3</v>
      </c>
      <c r="J88" s="1">
        <v>4703</v>
      </c>
    </row>
    <row r="89" spans="1:10">
      <c r="A89" t="s">
        <v>205</v>
      </c>
      <c r="B89" t="s">
        <v>206</v>
      </c>
      <c r="C89" t="str">
        <f>LEFT(B89,FIND(" ",B89)-1)</f>
        <v>Samsung</v>
      </c>
      <c r="D89" t="str">
        <f>TRIM(RIGHT(E89,LEN(E89)-FIND("@",SUBSTITUTE(E89,"|","@",LEN(E89)-LEN(SUBSTITUTE(E89,"|",""))))))</f>
        <v>SmartTelevisions</v>
      </c>
      <c r="E89" t="s">
        <v>60</v>
      </c>
      <c r="F89" s="1">
        <v>30990</v>
      </c>
      <c r="G89" s="1">
        <v>52900</v>
      </c>
      <c r="H89" s="6">
        <v>41</v>
      </c>
      <c r="I89">
        <v>4.3</v>
      </c>
      <c r="J89" s="1">
        <v>7109</v>
      </c>
    </row>
    <row r="90" spans="1:10">
      <c r="A90" t="s">
        <v>207</v>
      </c>
      <c r="B90" t="s">
        <v>208</v>
      </c>
      <c r="C90" t="str">
        <f>LEFT(B90,FIND(" ",B90)-1)</f>
        <v>Lapster</v>
      </c>
      <c r="D90" t="str">
        <f>TRIM(RIGHT(E90,LEN(E90)-FIND("@",SUBSTITUTE(E90,"|","@",LEN(E90)-LEN(SUBSTITUTE(E90,"|",""))))))</f>
        <v>USBCables</v>
      </c>
      <c r="E90" t="s">
        <v>23</v>
      </c>
      <c r="F90">
        <v>199</v>
      </c>
      <c r="G90">
        <v>999</v>
      </c>
      <c r="H90" s="6">
        <v>8</v>
      </c>
      <c r="I90">
        <v>4.5</v>
      </c>
      <c r="J90">
        <v>127</v>
      </c>
    </row>
    <row r="91" spans="1:10">
      <c r="A91" t="s">
        <v>209</v>
      </c>
      <c r="B91" t="s">
        <v>210</v>
      </c>
      <c r="C91" t="str">
        <f>LEFT(B91,FIND(" ",B91)-1)</f>
        <v>Wayona</v>
      </c>
      <c r="D91" t="str">
        <f>TRIM(RIGHT(E91,LEN(E91)-FIND("@",SUBSTITUTE(E91,"|","@",LEN(E91)-LEN(SUBSTITUTE(E91,"|",""))))))</f>
        <v>USBCables</v>
      </c>
      <c r="E91" t="s">
        <v>23</v>
      </c>
      <c r="F91">
        <v>649</v>
      </c>
      <c r="G91" s="1">
        <v>1999</v>
      </c>
      <c r="H91" s="6">
        <v>68</v>
      </c>
      <c r="I91">
        <v>4.2</v>
      </c>
      <c r="J91" s="1">
        <v>24269</v>
      </c>
    </row>
    <row r="92" spans="1:10">
      <c r="A92" t="s">
        <v>211</v>
      </c>
      <c r="B92" t="s">
        <v>212</v>
      </c>
      <c r="C92" t="str">
        <f>LEFT(B92,FIND(" ",B92)-1)</f>
        <v>Gizga</v>
      </c>
      <c r="D92" t="str">
        <f>TRIM(RIGHT(E92,LEN(E92)-FIND("@",SUBSTITUTE(E92,"|","@",LEN(E92)-LEN(SUBSTITUTE(E92,"|",""))))))</f>
        <v>WirelessUSBAdapters</v>
      </c>
      <c r="E92" t="s">
        <v>40</v>
      </c>
      <c r="F92">
        <v>269</v>
      </c>
      <c r="G92">
        <v>800</v>
      </c>
      <c r="H92" s="6">
        <v>66</v>
      </c>
      <c r="I92">
        <v>3.6</v>
      </c>
      <c r="J92" s="1">
        <v>10134</v>
      </c>
    </row>
    <row r="93" spans="1:10">
      <c r="A93" t="s">
        <v>213</v>
      </c>
      <c r="B93" t="s">
        <v>214</v>
      </c>
      <c r="C93" t="str">
        <f>LEFT(B93,FIND(" ",B93)-1)</f>
        <v>OnePlus</v>
      </c>
      <c r="D93" t="str">
        <f>TRIM(RIGHT(E93,LEN(E93)-FIND("@",SUBSTITUTE(E93,"|","@",LEN(E93)-LEN(SUBSTITUTE(E93,"|",""))))))</f>
        <v>SmartTelevisions</v>
      </c>
      <c r="E93" t="s">
        <v>60</v>
      </c>
      <c r="F93" s="1">
        <v>24999</v>
      </c>
      <c r="G93" s="1">
        <v>31999</v>
      </c>
      <c r="H93" s="6">
        <v>22</v>
      </c>
      <c r="I93">
        <v>4.2</v>
      </c>
      <c r="J93" s="1">
        <v>34899</v>
      </c>
    </row>
    <row r="94" spans="1:10">
      <c r="A94" t="s">
        <v>215</v>
      </c>
      <c r="B94" t="s">
        <v>216</v>
      </c>
      <c r="C94" t="str">
        <f>LEFT(B94,FIND(" ",B94)-1)</f>
        <v>boAt</v>
      </c>
      <c r="D94" t="str">
        <f>TRIM(RIGHT(E94,LEN(E94)-FIND("@",SUBSTITUTE(E94,"|","@",LEN(E94)-LEN(SUBSTITUTE(E94,"|",""))))))</f>
        <v>USBCables</v>
      </c>
      <c r="E94" t="s">
        <v>23</v>
      </c>
      <c r="F94">
        <v>299</v>
      </c>
      <c r="G94">
        <v>699</v>
      </c>
      <c r="H94" s="6">
        <v>57</v>
      </c>
      <c r="I94">
        <v>4.2</v>
      </c>
      <c r="J94" s="1">
        <v>94363</v>
      </c>
    </row>
    <row r="95" spans="1:10">
      <c r="A95" t="s">
        <v>217</v>
      </c>
      <c r="B95" t="s">
        <v>218</v>
      </c>
      <c r="C95" t="str">
        <f>LEFT(B95,FIND(" ",B95)-1)</f>
        <v>Lapster</v>
      </c>
      <c r="D95" t="str">
        <f>TRIM(RIGHT(E95,LEN(E95)-FIND("@",SUBSTITUTE(E95,"|","@",LEN(E95)-LEN(SUBSTITUTE(E95,"|",""))))))</f>
        <v>USBCables</v>
      </c>
      <c r="E95" t="s">
        <v>23</v>
      </c>
      <c r="F95">
        <v>199</v>
      </c>
      <c r="G95">
        <v>999</v>
      </c>
      <c r="H95" s="6">
        <v>8</v>
      </c>
      <c r="I95">
        <v>4.0999999999999996</v>
      </c>
      <c r="J95">
        <v>425</v>
      </c>
    </row>
    <row r="96" spans="1:10">
      <c r="A96" t="s">
        <v>219</v>
      </c>
      <c r="B96" t="s">
        <v>220</v>
      </c>
      <c r="C96" t="str">
        <f>LEFT(B96,FIND(" ",B96)-1)</f>
        <v>TCL</v>
      </c>
      <c r="D96" t="str">
        <f>TRIM(RIGHT(E96,LEN(E96)-FIND("@",SUBSTITUTE(E96,"|","@",LEN(E96)-LEN(SUBSTITUTE(E96,"|",""))))))</f>
        <v>SmartTelevisions</v>
      </c>
      <c r="E96" t="s">
        <v>60</v>
      </c>
      <c r="F96" s="1">
        <v>18990</v>
      </c>
      <c r="G96" s="1">
        <v>40990</v>
      </c>
      <c r="H96" s="6">
        <v>54</v>
      </c>
      <c r="I96">
        <v>4.2</v>
      </c>
      <c r="J96" s="1">
        <v>6659</v>
      </c>
    </row>
    <row r="97" spans="1:10">
      <c r="A97" t="s">
        <v>221</v>
      </c>
      <c r="B97" t="s">
        <v>222</v>
      </c>
      <c r="C97" t="str">
        <f>LEFT(B97,FIND(" ",B97)-1)</f>
        <v>ZEBRONICS</v>
      </c>
      <c r="D97" t="str">
        <f>TRIM(RIGHT(E97,LEN(E97)-FIND("@",SUBSTITUTE(E97,"|","@",LEN(E97)-LEN(SUBSTITUTE(E97,"|",""))))))</f>
        <v>WirelessUSBAdapters</v>
      </c>
      <c r="E97" t="s">
        <v>40</v>
      </c>
      <c r="F97">
        <v>290</v>
      </c>
      <c r="G97">
        <v>349</v>
      </c>
      <c r="H97" s="6">
        <v>17</v>
      </c>
      <c r="I97">
        <v>3.7</v>
      </c>
      <c r="J97" s="1">
        <v>1977</v>
      </c>
    </row>
    <row r="98" spans="1:10">
      <c r="A98" t="s">
        <v>223</v>
      </c>
      <c r="B98" t="s">
        <v>224</v>
      </c>
      <c r="C98" t="str">
        <f>LEFT(B98,FIND(" ",B98)-1)</f>
        <v>LOHAYA</v>
      </c>
      <c r="D98" t="str">
        <f>TRIM(RIGHT(E98,LEN(E98)-FIND("@",SUBSTITUTE(E98,"|","@",LEN(E98)-LEN(SUBSTITUTE(E98,"|",""))))))</f>
        <v>RemoteControls</v>
      </c>
      <c r="E98" t="s">
        <v>126</v>
      </c>
      <c r="F98">
        <v>249</v>
      </c>
      <c r="G98">
        <v>799</v>
      </c>
      <c r="H98" s="6">
        <v>69</v>
      </c>
      <c r="I98">
        <v>3.8</v>
      </c>
      <c r="J98" s="1">
        <v>1079</v>
      </c>
    </row>
    <row r="99" spans="1:10">
      <c r="A99" t="s">
        <v>225</v>
      </c>
      <c r="B99" t="s">
        <v>226</v>
      </c>
      <c r="C99" t="str">
        <f>LEFT(B99,FIND(" ",B99)-1)</f>
        <v>Gilary</v>
      </c>
      <c r="D99" t="str">
        <f>TRIM(RIGHT(E99,LEN(E99)-FIND("@",SUBSTITUTE(E99,"|","@",LEN(E99)-LEN(SUBSTITUTE(E99,"|",""))))))</f>
        <v>USBCables</v>
      </c>
      <c r="E99" t="s">
        <v>23</v>
      </c>
      <c r="F99">
        <v>345</v>
      </c>
      <c r="G99">
        <v>999</v>
      </c>
      <c r="H99" s="6">
        <v>65</v>
      </c>
      <c r="I99">
        <v>3.7</v>
      </c>
      <c r="J99" s="1">
        <v>1097</v>
      </c>
    </row>
    <row r="100" spans="1:10">
      <c r="A100" t="s">
        <v>227</v>
      </c>
      <c r="B100" t="s">
        <v>228</v>
      </c>
      <c r="C100" t="str">
        <f>LEFT(B100,FIND(" ",B100)-1)</f>
        <v>TP-Link</v>
      </c>
      <c r="D100" t="str">
        <f>TRIM(RIGHT(E100,LEN(E100)-FIND("@",SUBSTITUTE(E100,"|","@",LEN(E100)-LEN(SUBSTITUTE(E100,"|",""))))))</f>
        <v>WirelessUSBAdapters</v>
      </c>
      <c r="E100" t="s">
        <v>40</v>
      </c>
      <c r="F100" s="1">
        <v>1099</v>
      </c>
      <c r="G100" s="1">
        <v>1899</v>
      </c>
      <c r="H100" s="6">
        <v>42</v>
      </c>
      <c r="I100">
        <v>4.5</v>
      </c>
      <c r="J100" s="1">
        <v>22420</v>
      </c>
    </row>
    <row r="101" spans="1:10">
      <c r="A101" t="s">
        <v>229</v>
      </c>
      <c r="B101" t="s">
        <v>230</v>
      </c>
      <c r="C101" t="str">
        <f>LEFT(B101,FIND(" ",B101)-1)</f>
        <v>Wayona</v>
      </c>
      <c r="D101" t="str">
        <f>TRIM(RIGHT(E101,LEN(E101)-FIND("@",SUBSTITUTE(E101,"|","@",LEN(E101)-LEN(SUBSTITUTE(E101,"|",""))))))</f>
        <v>USBCables</v>
      </c>
      <c r="E101" t="s">
        <v>23</v>
      </c>
      <c r="F101">
        <v>719</v>
      </c>
      <c r="G101" s="1">
        <v>1499</v>
      </c>
      <c r="H101" s="6">
        <v>52</v>
      </c>
      <c r="I101">
        <v>4.0999999999999996</v>
      </c>
      <c r="J101" s="1">
        <v>1045</v>
      </c>
    </row>
    <row r="102" spans="1:10">
      <c r="A102" t="s">
        <v>231</v>
      </c>
      <c r="B102" t="s">
        <v>232</v>
      </c>
      <c r="C102" t="str">
        <f>LEFT(B102,FIND(" ",B102)-1)</f>
        <v>Dealfreez</v>
      </c>
      <c r="D102" t="str">
        <f>TRIM(RIGHT(E102,LEN(E102)-FIND("@",SUBSTITUTE(E102,"|","@",LEN(E102)-LEN(SUBSTITUTE(E102,"|",""))))))</f>
        <v>RemoteControls</v>
      </c>
      <c r="E102" t="s">
        <v>126</v>
      </c>
      <c r="F102">
        <v>349</v>
      </c>
      <c r="G102" s="1">
        <v>1499</v>
      </c>
      <c r="H102" s="6">
        <v>77</v>
      </c>
      <c r="I102">
        <v>4.3</v>
      </c>
      <c r="J102" s="1">
        <v>4145</v>
      </c>
    </row>
    <row r="103" spans="1:10">
      <c r="A103" t="s">
        <v>233</v>
      </c>
      <c r="B103" t="s">
        <v>234</v>
      </c>
      <c r="C103" t="str">
        <f>LEFT(B103,FIND(" ",B103)-1)</f>
        <v>Amazon</v>
      </c>
      <c r="D103" t="str">
        <f>TRIM(RIGHT(E103,LEN(E103)-FIND("@",SUBSTITUTE(E103,"|","@",LEN(E103)-LEN(SUBSTITUTE(E103,"|",""))))))</f>
        <v>USBCables</v>
      </c>
      <c r="E103" t="s">
        <v>23</v>
      </c>
      <c r="F103">
        <v>849</v>
      </c>
      <c r="G103" s="1">
        <v>1809</v>
      </c>
      <c r="H103" s="6">
        <v>53</v>
      </c>
      <c r="I103">
        <v>4.3</v>
      </c>
      <c r="J103" s="1">
        <v>6547</v>
      </c>
    </row>
    <row r="104" spans="1:10">
      <c r="A104" t="s">
        <v>235</v>
      </c>
      <c r="B104" t="s">
        <v>236</v>
      </c>
      <c r="C104" t="str">
        <f>LEFT(B104,FIND(" ",B104)-1)</f>
        <v>Isoelite</v>
      </c>
      <c r="D104" t="str">
        <f>TRIM(RIGHT(E104,LEN(E104)-FIND("@",SUBSTITUTE(E104,"|","@",LEN(E104)-LEN(SUBSTITUTE(E104,"|",""))))))</f>
        <v>RemoteControls</v>
      </c>
      <c r="E104" t="s">
        <v>126</v>
      </c>
      <c r="F104">
        <v>299</v>
      </c>
      <c r="G104">
        <v>899</v>
      </c>
      <c r="H104" s="6">
        <v>67</v>
      </c>
      <c r="I104">
        <v>4</v>
      </c>
      <c r="J104" s="1">
        <v>1588</v>
      </c>
    </row>
    <row r="105" spans="1:10">
      <c r="A105" t="s">
        <v>237</v>
      </c>
      <c r="B105" t="s">
        <v>238</v>
      </c>
      <c r="C105" t="str">
        <f>LEFT(B105,FIND(" ",B105)-1)</f>
        <v>MI</v>
      </c>
      <c r="D105" t="str">
        <f>TRIM(RIGHT(E105,LEN(E105)-FIND("@",SUBSTITUTE(E105,"|","@",LEN(E105)-LEN(SUBSTITUTE(E105,"|",""))))))</f>
        <v>SmartTelevisions</v>
      </c>
      <c r="E105" t="s">
        <v>60</v>
      </c>
      <c r="F105" s="1">
        <v>21999</v>
      </c>
      <c r="G105" s="1">
        <v>29999</v>
      </c>
      <c r="H105" s="6">
        <v>27</v>
      </c>
      <c r="I105">
        <v>4.2</v>
      </c>
      <c r="J105" s="1">
        <v>32840</v>
      </c>
    </row>
    <row r="106" spans="1:10">
      <c r="A106" t="s">
        <v>239</v>
      </c>
      <c r="B106" t="s">
        <v>240</v>
      </c>
      <c r="C106" t="str">
        <f>LEFT(B106,FIND(" ",B106)-1)</f>
        <v>Wayona</v>
      </c>
      <c r="D106" t="str">
        <f>TRIM(RIGHT(E106,LEN(E106)-FIND("@",SUBSTITUTE(E106,"|","@",LEN(E106)-LEN(SUBSTITUTE(E106,"|",""))))))</f>
        <v>USBCables</v>
      </c>
      <c r="E106" t="s">
        <v>23</v>
      </c>
      <c r="F106">
        <v>349</v>
      </c>
      <c r="G106">
        <v>999</v>
      </c>
      <c r="H106" s="6">
        <v>65</v>
      </c>
      <c r="I106">
        <v>4.2</v>
      </c>
      <c r="J106" s="1">
        <v>13120</v>
      </c>
    </row>
    <row r="107" spans="1:10">
      <c r="A107" t="s">
        <v>241</v>
      </c>
      <c r="B107" t="s">
        <v>242</v>
      </c>
      <c r="C107" t="str">
        <f>LEFT(B107,FIND(" ",B107)-1)</f>
        <v>Wayona</v>
      </c>
      <c r="D107" t="str">
        <f>TRIM(RIGHT(E107,LEN(E107)-FIND("@",SUBSTITUTE(E107,"|","@",LEN(E107)-LEN(SUBSTITUTE(E107,"|",""))))))</f>
        <v>USBCables</v>
      </c>
      <c r="E107" t="s">
        <v>23</v>
      </c>
      <c r="F107">
        <v>399</v>
      </c>
      <c r="G107">
        <v>999</v>
      </c>
      <c r="H107" s="6">
        <v>6</v>
      </c>
      <c r="I107">
        <v>4.3</v>
      </c>
      <c r="J107" s="1">
        <v>2806</v>
      </c>
    </row>
    <row r="108" spans="1:10">
      <c r="A108" t="s">
        <v>243</v>
      </c>
      <c r="B108" t="s">
        <v>244</v>
      </c>
      <c r="C108" t="str">
        <f>LEFT(B108,FIND(" ",B108)-1)</f>
        <v>Wayona</v>
      </c>
      <c r="D108" t="str">
        <f>TRIM(RIGHT(E108,LEN(E108)-FIND("@",SUBSTITUTE(E108,"|","@",LEN(E108)-LEN(SUBSTITUTE(E108,"|",""))))))</f>
        <v>USBCables</v>
      </c>
      <c r="E108" t="s">
        <v>23</v>
      </c>
      <c r="F108">
        <v>449</v>
      </c>
      <c r="G108" s="1">
        <v>1299</v>
      </c>
      <c r="H108" s="6">
        <v>65</v>
      </c>
      <c r="I108">
        <v>4.2</v>
      </c>
      <c r="J108" s="1">
        <v>24269</v>
      </c>
    </row>
    <row r="109" spans="1:10">
      <c r="A109" t="s">
        <v>245</v>
      </c>
      <c r="B109" t="s">
        <v>246</v>
      </c>
      <c r="C109" t="str">
        <f>LEFT(B109,FIND(" ",B109)-1)</f>
        <v>CROSSVOLT</v>
      </c>
      <c r="D109" t="str">
        <f>TRIM(RIGHT(E109,LEN(E109)-FIND("@",SUBSTITUTE(E109,"|","@",LEN(E109)-LEN(SUBSTITUTE(E109,"|",""))))))</f>
        <v>USBCables</v>
      </c>
      <c r="E109" t="s">
        <v>23</v>
      </c>
      <c r="F109">
        <v>299</v>
      </c>
      <c r="G109">
        <v>999</v>
      </c>
      <c r="H109" s="6">
        <v>7</v>
      </c>
      <c r="I109">
        <v>4.3</v>
      </c>
      <c r="J109">
        <v>766</v>
      </c>
    </row>
    <row r="110" spans="1:10">
      <c r="A110" t="s">
        <v>247</v>
      </c>
      <c r="B110" t="s">
        <v>248</v>
      </c>
      <c r="C110" t="str">
        <f>LEFT(B110,FIND(" ",B110)-1)</f>
        <v>VU</v>
      </c>
      <c r="D110" t="str">
        <f>TRIM(RIGHT(E110,LEN(E110)-FIND("@",SUBSTITUTE(E110,"|","@",LEN(E110)-LEN(SUBSTITUTE(E110,"|",""))))))</f>
        <v>SmartTelevisions</v>
      </c>
      <c r="E110" t="s">
        <v>60</v>
      </c>
      <c r="F110" s="1">
        <v>37999</v>
      </c>
      <c r="G110" s="1">
        <v>65000</v>
      </c>
      <c r="H110" s="6">
        <v>42</v>
      </c>
      <c r="I110">
        <v>4.3</v>
      </c>
      <c r="J110" s="1">
        <v>3587</v>
      </c>
    </row>
    <row r="111" spans="1:10">
      <c r="A111" t="s">
        <v>249</v>
      </c>
      <c r="B111" t="s">
        <v>250</v>
      </c>
      <c r="C111" t="str">
        <f>LEFT(B111,FIND(" ",B111)-1)</f>
        <v>PTron</v>
      </c>
      <c r="D111" t="str">
        <f>TRIM(RIGHT(E111,LEN(E111)-FIND("@",SUBSTITUTE(E111,"|","@",LEN(E111)-LEN(SUBSTITUTE(E111,"|",""))))))</f>
        <v>USBCables</v>
      </c>
      <c r="E111" t="s">
        <v>23</v>
      </c>
      <c r="F111">
        <v>99</v>
      </c>
      <c r="G111">
        <v>800</v>
      </c>
      <c r="H111" s="6">
        <v>88</v>
      </c>
      <c r="I111">
        <v>3.9</v>
      </c>
      <c r="J111" s="1">
        <v>24871</v>
      </c>
    </row>
    <row r="112" spans="1:10">
      <c r="A112" t="s">
        <v>251</v>
      </c>
      <c r="B112" t="s">
        <v>252</v>
      </c>
      <c r="C112" t="str">
        <f>LEFT(B112,FIND(" ",B112)-1)</f>
        <v>Croma</v>
      </c>
      <c r="D112" t="str">
        <f>TRIM(RIGHT(E112,LEN(E112)-FIND("@",SUBSTITUTE(E112,"|","@",LEN(E112)-LEN(SUBSTITUTE(E112,"|",""))))))</f>
        <v>StandardTelevisions</v>
      </c>
      <c r="E112" t="s">
        <v>137</v>
      </c>
      <c r="F112" s="1">
        <v>7390</v>
      </c>
      <c r="G112" s="1">
        <v>20000</v>
      </c>
      <c r="H112" s="6">
        <v>63</v>
      </c>
      <c r="I112">
        <v>4.0999999999999996</v>
      </c>
      <c r="J112" s="1">
        <v>2581</v>
      </c>
    </row>
    <row r="113" spans="1:10">
      <c r="A113" t="s">
        <v>253</v>
      </c>
      <c r="B113" t="s">
        <v>254</v>
      </c>
      <c r="C113" t="str">
        <f>LEFT(B113,FIND(" ",B113)-1)</f>
        <v>boAt</v>
      </c>
      <c r="D113" t="str">
        <f>TRIM(RIGHT(E113,LEN(E113)-FIND("@",SUBSTITUTE(E113,"|","@",LEN(E113)-LEN(SUBSTITUTE(E113,"|",""))))))</f>
        <v>USBCables</v>
      </c>
      <c r="E113" t="s">
        <v>23</v>
      </c>
      <c r="F113">
        <v>273.10000000000002</v>
      </c>
      <c r="G113">
        <v>999</v>
      </c>
      <c r="H113" s="6">
        <v>73</v>
      </c>
      <c r="I113">
        <v>4.3</v>
      </c>
      <c r="J113" s="1">
        <v>20850</v>
      </c>
    </row>
    <row r="114" spans="1:10">
      <c r="A114" t="s">
        <v>255</v>
      </c>
      <c r="B114" t="s">
        <v>256</v>
      </c>
      <c r="C114" t="str">
        <f>LEFT(B114,FIND(" ",B114)-1)</f>
        <v>LG</v>
      </c>
      <c r="D114" t="str">
        <f>TRIM(RIGHT(E114,LEN(E114)-FIND("@",SUBSTITUTE(E114,"|","@",LEN(E114)-LEN(SUBSTITUTE(E114,"|",""))))))</f>
        <v>SmartTelevisions</v>
      </c>
      <c r="E114" t="s">
        <v>60</v>
      </c>
      <c r="F114" s="1">
        <v>15990</v>
      </c>
      <c r="G114" s="1">
        <v>23990</v>
      </c>
      <c r="H114" s="6">
        <v>33</v>
      </c>
      <c r="I114">
        <v>4.3</v>
      </c>
      <c r="J114" s="1">
        <v>1035</v>
      </c>
    </row>
    <row r="115" spans="1:10">
      <c r="A115" t="s">
        <v>257</v>
      </c>
      <c r="B115" t="s">
        <v>258</v>
      </c>
      <c r="C115" t="str">
        <f>LEFT(B115,FIND(" ",B115)-1)</f>
        <v>boAt</v>
      </c>
      <c r="D115" t="str">
        <f>TRIM(RIGHT(E115,LEN(E115)-FIND("@",SUBSTITUTE(E115,"|","@",LEN(E115)-LEN(SUBSTITUTE(E115,"|",""))))))</f>
        <v>USBCables</v>
      </c>
      <c r="E115" t="s">
        <v>23</v>
      </c>
      <c r="F115">
        <v>399</v>
      </c>
      <c r="G115">
        <v>999</v>
      </c>
      <c r="H115" s="6">
        <v>6</v>
      </c>
      <c r="I115">
        <v>4.0999999999999996</v>
      </c>
      <c r="J115" s="1">
        <v>1780</v>
      </c>
    </row>
    <row r="116" spans="1:10">
      <c r="A116" t="s">
        <v>259</v>
      </c>
      <c r="B116" t="s">
        <v>260</v>
      </c>
      <c r="C116" t="str">
        <f>LEFT(B116,FIND(" ",B116)-1)</f>
        <v>Cotbolt</v>
      </c>
      <c r="D116" t="str">
        <f>TRIM(RIGHT(E116,LEN(E116)-FIND("@",SUBSTITUTE(E116,"|","@",LEN(E116)-LEN(SUBSTITUTE(E116,"|",""))))))</f>
        <v>RemoteControls</v>
      </c>
      <c r="E116" t="s">
        <v>126</v>
      </c>
      <c r="F116">
        <v>399</v>
      </c>
      <c r="G116" s="1">
        <v>1999</v>
      </c>
      <c r="H116" s="6">
        <v>8</v>
      </c>
      <c r="I116">
        <v>4.5</v>
      </c>
      <c r="J116">
        <v>505</v>
      </c>
    </row>
    <row r="117" spans="1:10">
      <c r="A117" t="s">
        <v>261</v>
      </c>
      <c r="B117" t="s">
        <v>262</v>
      </c>
      <c r="C117" t="str">
        <f>LEFT(B117,FIND(" ",B117)-1)</f>
        <v>Portronics</v>
      </c>
      <c r="D117" t="str">
        <f>TRIM(RIGHT(E117,LEN(E117)-FIND("@",SUBSTITUTE(E117,"|","@",LEN(E117)-LEN(SUBSTITUTE(E117,"|",""))))))</f>
        <v>USBCables</v>
      </c>
      <c r="E117" t="s">
        <v>23</v>
      </c>
      <c r="F117">
        <v>210</v>
      </c>
      <c r="G117">
        <v>399</v>
      </c>
      <c r="H117" s="6">
        <v>47</v>
      </c>
      <c r="I117">
        <v>4.0999999999999996</v>
      </c>
      <c r="J117" s="1">
        <v>1717</v>
      </c>
    </row>
    <row r="118" spans="1:10">
      <c r="A118" t="s">
        <v>263</v>
      </c>
      <c r="B118" t="s">
        <v>264</v>
      </c>
      <c r="C118" t="str">
        <f>LEFT(B118,FIND(" ",B118)-1)</f>
        <v>Electvision</v>
      </c>
      <c r="D118" t="str">
        <f>TRIM(RIGHT(E118,LEN(E118)-FIND("@",SUBSTITUTE(E118,"|","@",LEN(E118)-LEN(SUBSTITUTE(E118,"|",""))))))</f>
        <v>RemoteControls</v>
      </c>
      <c r="E118" t="s">
        <v>126</v>
      </c>
      <c r="F118" s="1">
        <v>1299</v>
      </c>
      <c r="G118" s="1">
        <v>1999</v>
      </c>
      <c r="H118" s="6">
        <v>35</v>
      </c>
      <c r="I118">
        <v>3.6</v>
      </c>
      <c r="J118">
        <v>590</v>
      </c>
    </row>
    <row r="119" spans="1:10">
      <c r="A119" t="s">
        <v>265</v>
      </c>
      <c r="B119" t="s">
        <v>266</v>
      </c>
      <c r="C119" t="str">
        <f>LEFT(B119,FIND(" ",B119)-1)</f>
        <v>King</v>
      </c>
      <c r="D119" t="str">
        <f>TRIM(RIGHT(E119,LEN(E119)-FIND("@",SUBSTITUTE(E119,"|","@",LEN(E119)-LEN(SUBSTITUTE(E119,"|",""))))))</f>
        <v>USBCables</v>
      </c>
      <c r="E119" t="s">
        <v>23</v>
      </c>
      <c r="F119">
        <v>347</v>
      </c>
      <c r="G119">
        <v>999</v>
      </c>
      <c r="H119" s="6">
        <v>65</v>
      </c>
      <c r="I119">
        <v>3.5</v>
      </c>
      <c r="J119" s="1">
        <v>1121</v>
      </c>
    </row>
    <row r="120" spans="1:10">
      <c r="A120" t="s">
        <v>267</v>
      </c>
      <c r="B120" t="s">
        <v>268</v>
      </c>
      <c r="C120" t="str">
        <f>LEFT(B120,FIND(" ",B120)-1)</f>
        <v>Lapster</v>
      </c>
      <c r="D120" t="str">
        <f>TRIM(RIGHT(E120,LEN(E120)-FIND("@",SUBSTITUTE(E120,"|","@",LEN(E120)-LEN(SUBSTITUTE(E120,"|",""))))))</f>
        <v>USBCables</v>
      </c>
      <c r="E120" t="s">
        <v>23</v>
      </c>
      <c r="F120">
        <v>149</v>
      </c>
      <c r="G120">
        <v>999</v>
      </c>
      <c r="H120" s="6">
        <v>85</v>
      </c>
      <c r="I120">
        <v>4</v>
      </c>
      <c r="J120" s="1">
        <v>1313</v>
      </c>
    </row>
    <row r="121" spans="1:10">
      <c r="A121" t="s">
        <v>269</v>
      </c>
      <c r="B121" t="s">
        <v>270</v>
      </c>
      <c r="C121" t="str">
        <f>LEFT(B121,FIND(" ",B121)-1)</f>
        <v>Portronics</v>
      </c>
      <c r="D121" t="str">
        <f>TRIM(RIGHT(E121,LEN(E121)-FIND("@",SUBSTITUTE(E121,"|","@",LEN(E121)-LEN(SUBSTITUTE(E121,"|",""))))))</f>
        <v>USBCables</v>
      </c>
      <c r="E121" t="s">
        <v>23</v>
      </c>
      <c r="F121">
        <v>228</v>
      </c>
      <c r="G121">
        <v>899</v>
      </c>
      <c r="H121" s="6">
        <v>75</v>
      </c>
      <c r="I121">
        <v>3.8</v>
      </c>
      <c r="J121">
        <v>132</v>
      </c>
    </row>
    <row r="122" spans="1:10">
      <c r="A122" t="s">
        <v>271</v>
      </c>
      <c r="B122" t="s">
        <v>272</v>
      </c>
      <c r="C122" t="str">
        <f>LEFT(B122,FIND(" ",B122)-1)</f>
        <v>Belkin</v>
      </c>
      <c r="D122" t="str">
        <f>TRIM(RIGHT(E122,LEN(E122)-FIND("@",SUBSTITUTE(E122,"|","@",LEN(E122)-LEN(SUBSTITUTE(E122,"|",""))))))</f>
        <v>USBCables</v>
      </c>
      <c r="E122" t="s">
        <v>23</v>
      </c>
      <c r="F122" s="1">
        <v>1599</v>
      </c>
      <c r="G122" s="1">
        <v>1999</v>
      </c>
      <c r="H122" s="6">
        <v>2</v>
      </c>
      <c r="I122">
        <v>4.4000000000000004</v>
      </c>
      <c r="J122" s="1">
        <v>1951</v>
      </c>
    </row>
    <row r="123" spans="1:10">
      <c r="A123" t="s">
        <v>273</v>
      </c>
      <c r="B123" t="s">
        <v>274</v>
      </c>
      <c r="C123" t="str">
        <f>LEFT(B123,FIND(" ",B123)-1)</f>
        <v>Remote</v>
      </c>
      <c r="D123" t="str">
        <f>TRIM(RIGHT(E123,LEN(E123)-FIND("@",SUBSTITUTE(E123,"|","@",LEN(E123)-LEN(SUBSTITUTE(E123,"|",""))))))</f>
        <v>RemoteControls</v>
      </c>
      <c r="E123" t="s">
        <v>126</v>
      </c>
      <c r="F123" s="1">
        <v>1499</v>
      </c>
      <c r="G123" s="1">
        <v>3999</v>
      </c>
      <c r="H123" s="6">
        <v>63</v>
      </c>
      <c r="I123">
        <v>3.7</v>
      </c>
      <c r="J123">
        <v>37</v>
      </c>
    </row>
    <row r="124" spans="1:10">
      <c r="A124" t="s">
        <v>275</v>
      </c>
      <c r="B124" t="s">
        <v>276</v>
      </c>
      <c r="C124" t="str">
        <f>LEFT(B124,FIND(" ",B124)-1)</f>
        <v>VW</v>
      </c>
      <c r="D124" t="str">
        <f>TRIM(RIGHT(E124,LEN(E124)-FIND("@",SUBSTITUTE(E124,"|","@",LEN(E124)-LEN(SUBSTITUTE(E124,"|",""))))))</f>
        <v>SmartTelevisions</v>
      </c>
      <c r="E124" t="s">
        <v>60</v>
      </c>
      <c r="F124" s="1">
        <v>8499</v>
      </c>
      <c r="G124" s="1">
        <v>15999</v>
      </c>
      <c r="H124" s="6">
        <v>47</v>
      </c>
      <c r="I124">
        <v>4.3</v>
      </c>
      <c r="J124">
        <v>592</v>
      </c>
    </row>
    <row r="125" spans="1:10">
      <c r="A125" t="s">
        <v>277</v>
      </c>
      <c r="B125" t="s">
        <v>278</v>
      </c>
      <c r="C125" t="str">
        <f>LEFT(B125,FIND(" ",B125)-1)</f>
        <v>Hisense</v>
      </c>
      <c r="D125" t="str">
        <f>TRIM(RIGHT(E125,LEN(E125)-FIND("@",SUBSTITUTE(E125,"|","@",LEN(E125)-LEN(SUBSTITUTE(E125,"|",""))))))</f>
        <v>SmartTelevisions</v>
      </c>
      <c r="E125" t="s">
        <v>60</v>
      </c>
      <c r="F125" s="1">
        <v>20990</v>
      </c>
      <c r="G125" s="1">
        <v>44990</v>
      </c>
      <c r="H125" s="6">
        <v>53</v>
      </c>
      <c r="I125">
        <v>4.0999999999999996</v>
      </c>
      <c r="J125" s="1">
        <v>1259</v>
      </c>
    </row>
    <row r="126" spans="1:10">
      <c r="A126" t="s">
        <v>279</v>
      </c>
      <c r="B126" t="s">
        <v>280</v>
      </c>
      <c r="C126" t="str">
        <f>LEFT(B126,FIND(" ",B126)-1)</f>
        <v>Redmi</v>
      </c>
      <c r="D126" t="str">
        <f>TRIM(RIGHT(E126,LEN(E126)-FIND("@",SUBSTITUTE(E126,"|","@",LEN(E126)-LEN(SUBSTITUTE(E126,"|",""))))))</f>
        <v>SmartTelevisions</v>
      </c>
      <c r="E126" t="s">
        <v>60</v>
      </c>
      <c r="F126" s="1">
        <v>32999</v>
      </c>
      <c r="G126" s="1">
        <v>44999</v>
      </c>
      <c r="H126" s="6">
        <v>27</v>
      </c>
      <c r="I126">
        <v>4.2</v>
      </c>
      <c r="J126" s="1">
        <v>45238</v>
      </c>
    </row>
    <row r="127" spans="1:10">
      <c r="A127" t="s">
        <v>281</v>
      </c>
      <c r="B127" t="s">
        <v>282</v>
      </c>
      <c r="C127" t="str">
        <f>LEFT(B127,FIND(" ",B127)-1)</f>
        <v>AmazonBasics</v>
      </c>
      <c r="D127" t="str">
        <f>TRIM(RIGHT(E127,LEN(E127)-FIND("@",SUBSTITUTE(E127,"|","@",LEN(E127)-LEN(SUBSTITUTE(E127,"|",""))))))</f>
        <v>HDMICables</v>
      </c>
      <c r="E127" t="s">
        <v>50</v>
      </c>
      <c r="F127">
        <v>799</v>
      </c>
      <c r="G127" s="1">
        <v>1700</v>
      </c>
      <c r="H127" s="6">
        <v>53</v>
      </c>
      <c r="I127">
        <v>4.0999999999999996</v>
      </c>
      <c r="J127" s="1">
        <v>28638</v>
      </c>
    </row>
    <row r="128" spans="1:10">
      <c r="A128" t="s">
        <v>283</v>
      </c>
      <c r="B128" t="s">
        <v>284</v>
      </c>
      <c r="C128" t="str">
        <f>LEFT(B128,FIND(" ",B128)-1)</f>
        <v>AmazonBasics</v>
      </c>
      <c r="D128" t="str">
        <f>TRIM(RIGHT(E128,LEN(E128)-FIND("@",SUBSTITUTE(E128,"|","@",LEN(E128)-LEN(SUBSTITUTE(E128,"|",""))))))</f>
        <v>HDMICables</v>
      </c>
      <c r="E128" t="s">
        <v>50</v>
      </c>
      <c r="F128">
        <v>229</v>
      </c>
      <c r="G128">
        <v>595</v>
      </c>
      <c r="H128" s="6">
        <v>62</v>
      </c>
      <c r="I128">
        <v>4.3</v>
      </c>
      <c r="J128" s="1">
        <v>12835</v>
      </c>
    </row>
    <row r="129" spans="1:10">
      <c r="A129" t="s">
        <v>285</v>
      </c>
      <c r="B129" t="s">
        <v>286</v>
      </c>
      <c r="C129" t="str">
        <f>LEFT(B129,FIND(" ",B129)-1)</f>
        <v>iFFALCON</v>
      </c>
      <c r="D129" t="str">
        <f>TRIM(RIGHT(E129,LEN(E129)-FIND("@",SUBSTITUTE(E129,"|","@",LEN(E129)-LEN(SUBSTITUTE(E129,"|",""))))))</f>
        <v>SmartTelevisions</v>
      </c>
      <c r="E129" t="s">
        <v>60</v>
      </c>
      <c r="F129" s="1">
        <v>9999</v>
      </c>
      <c r="G129" s="1">
        <v>27990</v>
      </c>
      <c r="H129" s="6">
        <v>64</v>
      </c>
      <c r="I129">
        <v>4.2</v>
      </c>
      <c r="J129" s="1">
        <v>1269</v>
      </c>
    </row>
    <row r="130" spans="1:10">
      <c r="A130" t="s">
        <v>287</v>
      </c>
      <c r="B130" t="s">
        <v>288</v>
      </c>
      <c r="C130" t="str">
        <f>LEFT(B130,FIND(" ",B130)-1)</f>
        <v>7SEVENÂ®</v>
      </c>
      <c r="D130" t="str">
        <f>TRIM(RIGHT(E130,LEN(E130)-FIND("@",SUBSTITUTE(E130,"|","@",LEN(E130)-LEN(SUBSTITUTE(E130,"|",""))))))</f>
        <v>RemoteControls</v>
      </c>
      <c r="E130" t="s">
        <v>126</v>
      </c>
      <c r="F130">
        <v>349</v>
      </c>
      <c r="G130">
        <v>599</v>
      </c>
      <c r="H130" s="6">
        <v>42</v>
      </c>
      <c r="I130">
        <v>4.2</v>
      </c>
      <c r="J130">
        <v>284</v>
      </c>
    </row>
    <row r="131" spans="1:10">
      <c r="A131" t="s">
        <v>289</v>
      </c>
      <c r="B131" t="s">
        <v>290</v>
      </c>
      <c r="C131" t="str">
        <f>LEFT(B131,FIND(" ",B131)-1)</f>
        <v>AmazonBasics</v>
      </c>
      <c r="D131" t="str">
        <f>TRIM(RIGHT(E131,LEN(E131)-FIND("@",SUBSTITUTE(E131,"|","@",LEN(E131)-LEN(SUBSTITUTE(E131,"|",""))))))</f>
        <v>RCACables</v>
      </c>
      <c r="E131" t="s">
        <v>291</v>
      </c>
      <c r="F131">
        <v>489</v>
      </c>
      <c r="G131" s="1">
        <v>1200</v>
      </c>
      <c r="H131" s="6">
        <v>59</v>
      </c>
      <c r="I131">
        <v>4.4000000000000004</v>
      </c>
      <c r="J131" s="1">
        <v>69538</v>
      </c>
    </row>
    <row r="132" spans="1:10">
      <c r="A132" t="s">
        <v>292</v>
      </c>
      <c r="B132" t="s">
        <v>293</v>
      </c>
      <c r="C132" t="str">
        <f>LEFT(B132,FIND(" ",B132)-1)</f>
        <v>Acer</v>
      </c>
      <c r="D132" t="str">
        <f>TRIM(RIGHT(E132,LEN(E132)-FIND("@",SUBSTITUTE(E132,"|","@",LEN(E132)-LEN(SUBSTITUTE(E132,"|",""))))))</f>
        <v>SmartTelevisions</v>
      </c>
      <c r="E132" t="s">
        <v>60</v>
      </c>
      <c r="F132" s="1">
        <v>23999</v>
      </c>
      <c r="G132" s="1">
        <v>34990</v>
      </c>
      <c r="H132" s="6">
        <v>31</v>
      </c>
      <c r="I132">
        <v>4.3</v>
      </c>
      <c r="J132" s="1">
        <v>4703</v>
      </c>
    </row>
    <row r="133" spans="1:10">
      <c r="A133" t="s">
        <v>294</v>
      </c>
      <c r="B133" t="s">
        <v>295</v>
      </c>
      <c r="C133" t="str">
        <f>LEFT(B133,FIND(" ",B133)-1)</f>
        <v>Wayona</v>
      </c>
      <c r="D133" t="str">
        <f>TRIM(RIGHT(E133,LEN(E133)-FIND("@",SUBSTITUTE(E133,"|","@",LEN(E133)-LEN(SUBSTITUTE(E133,"|",""))))))</f>
        <v>USBCables</v>
      </c>
      <c r="E133" t="s">
        <v>23</v>
      </c>
      <c r="F133">
        <v>399</v>
      </c>
      <c r="G133">
        <v>999</v>
      </c>
      <c r="H133" s="6">
        <v>6</v>
      </c>
      <c r="I133">
        <v>4.3</v>
      </c>
      <c r="J133" s="1">
        <v>2806</v>
      </c>
    </row>
    <row r="134" spans="1:10">
      <c r="A134" t="s">
        <v>296</v>
      </c>
      <c r="B134" t="s">
        <v>297</v>
      </c>
      <c r="C134" t="str">
        <f>LEFT(B134,FIND(" ",B134)-1)</f>
        <v>Saifsmart</v>
      </c>
      <c r="D134" t="str">
        <f>TRIM(RIGHT(E134,LEN(E134)-FIND("@",SUBSTITUTE(E134,"|","@",LEN(E134)-LEN(SUBSTITUTE(E134,"|",""))))))</f>
        <v>Mounts</v>
      </c>
      <c r="E134" t="s">
        <v>298</v>
      </c>
      <c r="F134">
        <v>349</v>
      </c>
      <c r="G134" s="1">
        <v>1299</v>
      </c>
      <c r="H134" s="6">
        <v>73</v>
      </c>
      <c r="I134">
        <v>4</v>
      </c>
      <c r="J134" s="1">
        <v>3295</v>
      </c>
    </row>
    <row r="135" spans="1:10">
      <c r="A135" t="s">
        <v>299</v>
      </c>
      <c r="B135" t="s">
        <v>300</v>
      </c>
      <c r="C135" t="str">
        <f>LEFT(B135,FIND(" ",B135)-1)</f>
        <v>MI</v>
      </c>
      <c r="D135" t="str">
        <f>TRIM(RIGHT(E135,LEN(E135)-FIND("@",SUBSTITUTE(E135,"|","@",LEN(E135)-LEN(SUBSTITUTE(E135,"|",""))))))</f>
        <v>USBCables</v>
      </c>
      <c r="E135" t="s">
        <v>23</v>
      </c>
      <c r="F135">
        <v>179</v>
      </c>
      <c r="G135">
        <v>299</v>
      </c>
      <c r="H135" s="6">
        <v>4</v>
      </c>
      <c r="I135">
        <v>3.9</v>
      </c>
      <c r="J135">
        <v>81</v>
      </c>
    </row>
    <row r="136" spans="1:10">
      <c r="A136" t="s">
        <v>301</v>
      </c>
      <c r="B136" t="s">
        <v>302</v>
      </c>
      <c r="C136" t="str">
        <f>LEFT(B136,FIND(" ",B136)-1)</f>
        <v>AmazonBasics</v>
      </c>
      <c r="D136" t="str">
        <f>TRIM(RIGHT(E136,LEN(E136)-FIND("@",SUBSTITUTE(E136,"|","@",LEN(E136)-LEN(SUBSTITUTE(E136,"|",""))))))</f>
        <v>USBCables</v>
      </c>
      <c r="E136" t="s">
        <v>23</v>
      </c>
      <c r="F136">
        <v>689</v>
      </c>
      <c r="G136" s="1">
        <v>1500</v>
      </c>
      <c r="H136" s="6">
        <v>54</v>
      </c>
      <c r="I136">
        <v>4.2</v>
      </c>
      <c r="J136" s="1">
        <v>42301</v>
      </c>
    </row>
    <row r="137" spans="1:10">
      <c r="A137" t="s">
        <v>303</v>
      </c>
      <c r="B137" t="s">
        <v>304</v>
      </c>
      <c r="C137" t="str">
        <f>LEFT(B137,FIND(" ",B137)-1)</f>
        <v>LG</v>
      </c>
      <c r="D137" t="str">
        <f>TRIM(RIGHT(E137,LEN(E137)-FIND("@",SUBSTITUTE(E137,"|","@",LEN(E137)-LEN(SUBSTITUTE(E137,"|",""))))))</f>
        <v>SmartTelevisions</v>
      </c>
      <c r="E137" t="s">
        <v>60</v>
      </c>
      <c r="F137" s="1">
        <v>30990</v>
      </c>
      <c r="G137" s="1">
        <v>49990</v>
      </c>
      <c r="H137" s="6">
        <v>38</v>
      </c>
      <c r="I137">
        <v>4.3</v>
      </c>
      <c r="J137" s="1">
        <v>1376</v>
      </c>
    </row>
    <row r="138" spans="1:10">
      <c r="A138" t="s">
        <v>305</v>
      </c>
      <c r="B138" t="s">
        <v>306</v>
      </c>
      <c r="C138" t="str">
        <f>LEFT(B138,FIND(" ",B138)-1)</f>
        <v>pTron</v>
      </c>
      <c r="D138" t="str">
        <f>TRIM(RIGHT(E138,LEN(E138)-FIND("@",SUBSTITUTE(E138,"|","@",LEN(E138)-LEN(SUBSTITUTE(E138,"|",""))))))</f>
        <v>USBCables</v>
      </c>
      <c r="E138" t="s">
        <v>23</v>
      </c>
      <c r="F138">
        <v>249</v>
      </c>
      <c r="G138">
        <v>931</v>
      </c>
      <c r="H138" s="6">
        <v>73</v>
      </c>
      <c r="I138">
        <v>3.9</v>
      </c>
      <c r="J138" s="1">
        <v>1075</v>
      </c>
    </row>
    <row r="139" spans="1:10">
      <c r="A139" t="s">
        <v>307</v>
      </c>
      <c r="B139" t="s">
        <v>308</v>
      </c>
      <c r="C139" t="str">
        <f>LEFT(B139,FIND(" ",B139)-1)</f>
        <v>10k</v>
      </c>
      <c r="D139" t="str">
        <f>TRIM(RIGHT(E139,LEN(E139)-FIND("@",SUBSTITUTE(E139,"|","@",LEN(E139)-LEN(SUBSTITUTE(E139,"|",""))))))</f>
        <v>HDMICables</v>
      </c>
      <c r="E139" t="s">
        <v>50</v>
      </c>
      <c r="F139">
        <v>999</v>
      </c>
      <c r="G139" s="1">
        <v>2399</v>
      </c>
      <c r="H139" s="6">
        <v>58</v>
      </c>
      <c r="I139">
        <v>4.5999999999999996</v>
      </c>
      <c r="J139" s="1">
        <v>3664</v>
      </c>
    </row>
    <row r="140" spans="1:10">
      <c r="A140" t="s">
        <v>309</v>
      </c>
      <c r="B140" t="s">
        <v>310</v>
      </c>
      <c r="C140" t="str">
        <f>LEFT(B140,FIND(" ",B140)-1)</f>
        <v>LRIPL</v>
      </c>
      <c r="D140" t="str">
        <f>TRIM(RIGHT(E140,LEN(E140)-FIND("@",SUBSTITUTE(E140,"|","@",LEN(E140)-LEN(SUBSTITUTE(E140,"|",""))))))</f>
        <v>RemoteControls</v>
      </c>
      <c r="E140" t="s">
        <v>126</v>
      </c>
      <c r="F140">
        <v>399</v>
      </c>
      <c r="G140">
        <v>399</v>
      </c>
      <c r="H140" s="6">
        <v>0</v>
      </c>
      <c r="I140">
        <v>3.9</v>
      </c>
      <c r="J140" s="1">
        <v>1951</v>
      </c>
    </row>
    <row r="141" spans="1:10">
      <c r="A141" t="s">
        <v>311</v>
      </c>
      <c r="B141" t="s">
        <v>312</v>
      </c>
      <c r="C141" t="str">
        <f>LEFT(B141,FIND(" ",B141)-1)</f>
        <v>boAt</v>
      </c>
      <c r="D141" t="str">
        <f>TRIM(RIGHT(E141,LEN(E141)-FIND("@",SUBSTITUTE(E141,"|","@",LEN(E141)-LEN(SUBSTITUTE(E141,"|",""))))))</f>
        <v>USBCables</v>
      </c>
      <c r="E141" t="s">
        <v>23</v>
      </c>
      <c r="F141">
        <v>349</v>
      </c>
      <c r="G141">
        <v>699</v>
      </c>
      <c r="H141" s="6">
        <v>5</v>
      </c>
      <c r="I141">
        <v>4.3</v>
      </c>
      <c r="J141" s="1">
        <v>20850</v>
      </c>
    </row>
    <row r="142" spans="1:10">
      <c r="A142" t="s">
        <v>313</v>
      </c>
      <c r="B142" t="s">
        <v>314</v>
      </c>
      <c r="C142" t="str">
        <f>LEFT(B142,FIND(" ",B142)-1)</f>
        <v>Zoul</v>
      </c>
      <c r="D142" t="str">
        <f>TRIM(RIGHT(E142,LEN(E142)-FIND("@",SUBSTITUTE(E142,"|","@",LEN(E142)-LEN(SUBSTITUTE(E142,"|",""))))))</f>
        <v>USBCables</v>
      </c>
      <c r="E142" t="s">
        <v>23</v>
      </c>
      <c r="F142">
        <v>399</v>
      </c>
      <c r="G142" s="1">
        <v>1099</v>
      </c>
      <c r="H142" s="6">
        <v>64</v>
      </c>
      <c r="I142">
        <v>4.0999999999999996</v>
      </c>
      <c r="J142" s="1">
        <v>2685</v>
      </c>
    </row>
    <row r="143" spans="1:10">
      <c r="A143" t="s">
        <v>315</v>
      </c>
      <c r="B143" t="s">
        <v>316</v>
      </c>
      <c r="C143" t="str">
        <f>LEFT(B143,FIND(" ",B143)-1)</f>
        <v>TP-LINK</v>
      </c>
      <c r="D143" t="str">
        <f>TRIM(RIGHT(E143,LEN(E143)-FIND("@",SUBSTITUTE(E143,"|","@",LEN(E143)-LEN(SUBSTITUTE(E143,"|",""))))))</f>
        <v>WirelessUSBAdapters</v>
      </c>
      <c r="E143" t="s">
        <v>40</v>
      </c>
      <c r="F143" s="1">
        <v>1699</v>
      </c>
      <c r="G143" s="1">
        <v>2999</v>
      </c>
      <c r="H143" s="6">
        <v>43</v>
      </c>
      <c r="I143">
        <v>4.4000000000000004</v>
      </c>
      <c r="J143" s="1">
        <v>24780</v>
      </c>
    </row>
    <row r="144" spans="1:10">
      <c r="A144" t="s">
        <v>317</v>
      </c>
      <c r="B144" t="s">
        <v>318</v>
      </c>
      <c r="C144" t="str">
        <f>LEFT(B144,FIND(" ",B144)-1)</f>
        <v>LRIPL</v>
      </c>
      <c r="D144" t="str">
        <f>TRIM(RIGHT(E144,LEN(E144)-FIND("@",SUBSTITUTE(E144,"|","@",LEN(E144)-LEN(SUBSTITUTE(E144,"|",""))))))</f>
        <v>RemoteControls</v>
      </c>
      <c r="E144" t="s">
        <v>126</v>
      </c>
      <c r="F144">
        <v>655</v>
      </c>
      <c r="G144" s="1">
        <v>1099</v>
      </c>
      <c r="H144" s="6">
        <v>4</v>
      </c>
      <c r="I144">
        <v>3.2</v>
      </c>
      <c r="J144">
        <v>285</v>
      </c>
    </row>
    <row r="145" spans="1:10">
      <c r="A145" t="s">
        <v>319</v>
      </c>
      <c r="B145" t="s">
        <v>320</v>
      </c>
      <c r="C145" t="str">
        <f>LEFT(B145,FIND(" ",B145)-1)</f>
        <v>TP-Link</v>
      </c>
      <c r="D145" t="str">
        <f>TRIM(RIGHT(E145,LEN(E145)-FIND("@",SUBSTITUTE(E145,"|","@",LEN(E145)-LEN(SUBSTITUTE(E145,"|",""))))))</f>
        <v>WirelessUSBAdapters</v>
      </c>
      <c r="E145" t="s">
        <v>40</v>
      </c>
      <c r="F145">
        <v>749</v>
      </c>
      <c r="G145" s="1">
        <v>1339</v>
      </c>
      <c r="H145" s="6">
        <v>44</v>
      </c>
      <c r="I145">
        <v>4.2</v>
      </c>
      <c r="J145" t="s">
        <v>321</v>
      </c>
    </row>
    <row r="146" spans="1:10">
      <c r="A146" t="s">
        <v>322</v>
      </c>
      <c r="B146" t="s">
        <v>323</v>
      </c>
      <c r="C146" t="str">
        <f>LEFT(B146,FIND(" ",B146)-1)</f>
        <v>Kodak</v>
      </c>
      <c r="D146" t="str">
        <f>TRIM(RIGHT(E146,LEN(E146)-FIND("@",SUBSTITUTE(E146,"|","@",LEN(E146)-LEN(SUBSTITUTE(E146,"|",""))))))</f>
        <v>SmartTelevisions</v>
      </c>
      <c r="E146" t="s">
        <v>60</v>
      </c>
      <c r="F146" s="1">
        <v>9999</v>
      </c>
      <c r="G146" s="1">
        <v>12999</v>
      </c>
      <c r="H146" s="6">
        <v>23</v>
      </c>
      <c r="I146">
        <v>4.2</v>
      </c>
      <c r="J146" s="1">
        <v>6088</v>
      </c>
    </row>
    <row r="147" spans="1:10">
      <c r="A147" t="s">
        <v>324</v>
      </c>
      <c r="B147" t="s">
        <v>325</v>
      </c>
      <c r="C147" t="str">
        <f>LEFT(B147,FIND(" ",B147)-1)</f>
        <v>Airtel</v>
      </c>
      <c r="D147" t="str">
        <f>TRIM(RIGHT(E147,LEN(E147)-FIND("@",SUBSTITUTE(E147,"|","@",LEN(E147)-LEN(SUBSTITUTE(E147,"|",""))))))</f>
        <v>RemoteControls</v>
      </c>
      <c r="E147" t="s">
        <v>126</v>
      </c>
      <c r="F147">
        <v>195</v>
      </c>
      <c r="G147">
        <v>499</v>
      </c>
      <c r="H147" s="6">
        <v>61</v>
      </c>
      <c r="I147">
        <v>3.7</v>
      </c>
      <c r="J147" s="1">
        <v>1383</v>
      </c>
    </row>
    <row r="148" spans="1:10">
      <c r="A148" t="s">
        <v>326</v>
      </c>
      <c r="B148" t="s">
        <v>327</v>
      </c>
      <c r="C148" t="str">
        <f>LEFT(B148,FIND(" ",B148)-1)</f>
        <v>AmazonBasics</v>
      </c>
      <c r="D148" t="str">
        <f>TRIM(RIGHT(E148,LEN(E148)-FIND("@",SUBSTITUTE(E148,"|","@",LEN(E148)-LEN(SUBSTITUTE(E148,"|",""))))))</f>
        <v>USBCables</v>
      </c>
      <c r="E148" t="s">
        <v>23</v>
      </c>
      <c r="F148">
        <v>999</v>
      </c>
      <c r="G148" s="1">
        <v>2100</v>
      </c>
      <c r="H148" s="6">
        <v>52</v>
      </c>
      <c r="I148">
        <v>4.5</v>
      </c>
      <c r="J148" s="1">
        <v>5492</v>
      </c>
    </row>
    <row r="149" spans="1:10">
      <c r="A149" t="s">
        <v>328</v>
      </c>
      <c r="B149" t="s">
        <v>329</v>
      </c>
      <c r="C149" t="str">
        <f>LEFT(B149,FIND(" ",B149)-1)</f>
        <v>Ambrane</v>
      </c>
      <c r="D149" t="str">
        <f>TRIM(RIGHT(E149,LEN(E149)-FIND("@",SUBSTITUTE(E149,"|","@",LEN(E149)-LEN(SUBSTITUTE(E149,"|",""))))))</f>
        <v>USBCables</v>
      </c>
      <c r="E149" t="s">
        <v>23</v>
      </c>
      <c r="F149">
        <v>499</v>
      </c>
      <c r="G149">
        <v>899</v>
      </c>
      <c r="H149" s="6">
        <v>44</v>
      </c>
      <c r="I149">
        <v>4.2</v>
      </c>
      <c r="J149">
        <v>919</v>
      </c>
    </row>
    <row r="150" spans="1:10">
      <c r="A150" t="s">
        <v>330</v>
      </c>
      <c r="B150" t="s">
        <v>331</v>
      </c>
      <c r="C150" t="str">
        <f>LEFT(B150,FIND(" ",B150)-1)</f>
        <v>BlueRigger</v>
      </c>
      <c r="D150" t="str">
        <f>TRIM(RIGHT(E150,LEN(E150)-FIND("@",SUBSTITUTE(E150,"|","@",LEN(E150)-LEN(SUBSTITUTE(E150,"|",""))))))</f>
        <v>OpticalCables</v>
      </c>
      <c r="E150" t="s">
        <v>332</v>
      </c>
      <c r="F150">
        <v>416</v>
      </c>
      <c r="G150">
        <v>599</v>
      </c>
      <c r="H150" s="6">
        <v>31</v>
      </c>
      <c r="I150">
        <v>4.2</v>
      </c>
      <c r="J150" s="1">
        <v>30023</v>
      </c>
    </row>
    <row r="151" spans="1:10">
      <c r="A151" t="s">
        <v>333</v>
      </c>
      <c r="B151" t="s">
        <v>334</v>
      </c>
      <c r="C151" t="str">
        <f>LEFT(B151,FIND(" ",B151)-1)</f>
        <v>Duracell</v>
      </c>
      <c r="D151" t="str">
        <f>TRIM(RIGHT(E151,LEN(E151)-FIND("@",SUBSTITUTE(E151,"|","@",LEN(E151)-LEN(SUBSTITUTE(E151,"|",""))))))</f>
        <v>USBCables</v>
      </c>
      <c r="E151" t="s">
        <v>23</v>
      </c>
      <c r="F151">
        <v>368</v>
      </c>
      <c r="G151">
        <v>699</v>
      </c>
      <c r="H151" s="6">
        <v>47</v>
      </c>
      <c r="I151">
        <v>4.2</v>
      </c>
      <c r="J151">
        <v>387</v>
      </c>
    </row>
    <row r="152" spans="1:10">
      <c r="A152" t="s">
        <v>335</v>
      </c>
      <c r="B152" t="s">
        <v>336</v>
      </c>
      <c r="C152" t="str">
        <f>LEFT(B152,FIND(" ",B152)-1)</f>
        <v>VU</v>
      </c>
      <c r="D152" t="str">
        <f>TRIM(RIGHT(E152,LEN(E152)-FIND("@",SUBSTITUTE(E152,"|","@",LEN(E152)-LEN(SUBSTITUTE(E152,"|",""))))))</f>
        <v>SmartTelevisions</v>
      </c>
      <c r="E152" t="s">
        <v>60</v>
      </c>
      <c r="F152" s="1">
        <v>29990</v>
      </c>
      <c r="G152" s="1">
        <v>65000</v>
      </c>
      <c r="H152" s="6">
        <v>54</v>
      </c>
      <c r="I152">
        <v>4.0999999999999996</v>
      </c>
      <c r="J152">
        <v>211</v>
      </c>
    </row>
    <row r="153" spans="1:10">
      <c r="A153" t="s">
        <v>337</v>
      </c>
      <c r="B153" t="s">
        <v>338</v>
      </c>
      <c r="C153" t="str">
        <f>LEFT(B153,FIND(" ",B153)-1)</f>
        <v>Zoul</v>
      </c>
      <c r="D153" t="str">
        <f>TRIM(RIGHT(E153,LEN(E153)-FIND("@",SUBSTITUTE(E153,"|","@",LEN(E153)-LEN(SUBSTITUTE(E153,"|",""))))))</f>
        <v>USBCables</v>
      </c>
      <c r="E153" t="s">
        <v>23</v>
      </c>
      <c r="F153">
        <v>339</v>
      </c>
      <c r="G153" s="1">
        <v>1099</v>
      </c>
      <c r="H153" s="6">
        <v>69</v>
      </c>
      <c r="I153">
        <v>4.3</v>
      </c>
      <c r="J153">
        <v>974</v>
      </c>
    </row>
    <row r="154" spans="1:10">
      <c r="A154" t="s">
        <v>339</v>
      </c>
      <c r="B154" t="s">
        <v>340</v>
      </c>
      <c r="C154" t="str">
        <f>LEFT(B154,FIND(" ",B154)-1)</f>
        <v>Samsung</v>
      </c>
      <c r="D154" t="str">
        <f>TRIM(RIGHT(E154,LEN(E154)-FIND("@",SUBSTITUTE(E154,"|","@",LEN(E154)-LEN(SUBSTITUTE(E154,"|",""))))))</f>
        <v>SmartTelevisions</v>
      </c>
      <c r="E154" t="s">
        <v>60</v>
      </c>
      <c r="F154" s="1">
        <v>15490</v>
      </c>
      <c r="G154" s="1">
        <v>20900</v>
      </c>
      <c r="H154" s="6">
        <v>26</v>
      </c>
      <c r="I154">
        <v>4.3</v>
      </c>
      <c r="J154" s="1">
        <v>16299</v>
      </c>
    </row>
    <row r="155" spans="1:10">
      <c r="A155" t="s">
        <v>341</v>
      </c>
      <c r="B155" t="s">
        <v>342</v>
      </c>
      <c r="C155" t="str">
        <f>LEFT(B155,FIND(" ",B155)-1)</f>
        <v>MI</v>
      </c>
      <c r="D155" t="str">
        <f>TRIM(RIGHT(E155,LEN(E155)-FIND("@",SUBSTITUTE(E155,"|","@",LEN(E155)-LEN(SUBSTITUTE(E155,"|",""))))))</f>
        <v>USBCables</v>
      </c>
      <c r="E155" t="s">
        <v>23</v>
      </c>
      <c r="F155">
        <v>499</v>
      </c>
      <c r="G155" s="1">
        <v>1299</v>
      </c>
      <c r="H155" s="6">
        <v>62</v>
      </c>
      <c r="I155">
        <v>4.3</v>
      </c>
      <c r="J155" s="1">
        <v>30411</v>
      </c>
    </row>
    <row r="156" spans="1:10">
      <c r="A156" t="s">
        <v>343</v>
      </c>
      <c r="B156" t="s">
        <v>344</v>
      </c>
      <c r="C156" t="str">
        <f>LEFT(B156,FIND(" ",B156)-1)</f>
        <v>GENERIC</v>
      </c>
      <c r="D156" t="str">
        <f>TRIM(RIGHT(E156,LEN(E156)-FIND("@",SUBSTITUTE(E156,"|","@",LEN(E156)-LEN(SUBSTITUTE(E156,"|",""))))))</f>
        <v>WirelessUSBAdapters</v>
      </c>
      <c r="E156" t="s">
        <v>40</v>
      </c>
      <c r="F156">
        <v>249</v>
      </c>
      <c r="G156">
        <v>399</v>
      </c>
      <c r="H156" s="6">
        <v>38</v>
      </c>
      <c r="I156">
        <v>3.4</v>
      </c>
      <c r="J156" s="1">
        <v>4642</v>
      </c>
    </row>
    <row r="157" spans="1:10">
      <c r="A157" t="s">
        <v>345</v>
      </c>
      <c r="B157" t="s">
        <v>346</v>
      </c>
      <c r="C157" t="str">
        <f>LEFT(B157,FIND(" ",B157)-1)</f>
        <v>7SEVENÂ®</v>
      </c>
      <c r="D157" t="str">
        <f>TRIM(RIGHT(E157,LEN(E157)-FIND("@",SUBSTITUTE(E157,"|","@",LEN(E157)-LEN(SUBSTITUTE(E157,"|",""))))))</f>
        <v>RemoteControls</v>
      </c>
      <c r="E157" t="s">
        <v>126</v>
      </c>
      <c r="F157">
        <v>399</v>
      </c>
      <c r="G157">
        <v>799</v>
      </c>
      <c r="H157" s="6">
        <v>5</v>
      </c>
      <c r="I157">
        <v>4.3</v>
      </c>
      <c r="J157">
        <v>12</v>
      </c>
    </row>
    <row r="158" spans="1:10">
      <c r="A158" t="s">
        <v>347</v>
      </c>
      <c r="B158" t="s">
        <v>348</v>
      </c>
      <c r="C158" t="str">
        <f>LEFT(B158,FIND(" ",B158)-1)</f>
        <v>Belkin</v>
      </c>
      <c r="D158" t="str">
        <f>TRIM(RIGHT(E158,LEN(E158)-FIND("@",SUBSTITUTE(E158,"|","@",LEN(E158)-LEN(SUBSTITUTE(E158,"|",""))))))</f>
        <v>USBCables</v>
      </c>
      <c r="E158" t="s">
        <v>23</v>
      </c>
      <c r="F158" s="1">
        <v>1499</v>
      </c>
      <c r="G158" s="1">
        <v>1999</v>
      </c>
      <c r="H158" s="6">
        <v>25</v>
      </c>
      <c r="I158">
        <v>4.4000000000000004</v>
      </c>
      <c r="J158" s="1">
        <v>1951</v>
      </c>
    </row>
    <row r="159" spans="1:10">
      <c r="A159" t="s">
        <v>349</v>
      </c>
      <c r="B159" t="s">
        <v>350</v>
      </c>
      <c r="C159" t="str">
        <f>LEFT(B159,FIND(" ",B159)-1)</f>
        <v>EGate</v>
      </c>
      <c r="D159" t="str">
        <f>TRIM(RIGHT(E159,LEN(E159)-FIND("@",SUBSTITUTE(E159,"|","@",LEN(E159)-LEN(SUBSTITUTE(E159,"|",""))))))</f>
        <v>Projectors</v>
      </c>
      <c r="E159" t="s">
        <v>351</v>
      </c>
      <c r="F159" s="1">
        <v>9490</v>
      </c>
      <c r="G159" s="1">
        <v>15990</v>
      </c>
      <c r="H159" s="6">
        <v>41</v>
      </c>
      <c r="I159">
        <v>3.9</v>
      </c>
      <c r="J159" s="1">
        <v>10480</v>
      </c>
    </row>
    <row r="160" spans="1:10">
      <c r="A160" t="s">
        <v>352</v>
      </c>
      <c r="B160" t="s">
        <v>353</v>
      </c>
      <c r="C160" t="str">
        <f>LEFT(B160,FIND(" ",B160)-1)</f>
        <v>ZEBRONICS</v>
      </c>
      <c r="D160" t="str">
        <f>TRIM(RIGHT(E160,LEN(E160)-FIND("@",SUBSTITUTE(E160,"|","@",LEN(E160)-LEN(SUBSTITUTE(E160,"|",""))))))</f>
        <v>HDMICables</v>
      </c>
      <c r="E160" t="s">
        <v>50</v>
      </c>
      <c r="F160">
        <v>637</v>
      </c>
      <c r="G160" s="1">
        <v>1499</v>
      </c>
      <c r="H160" s="6">
        <v>58</v>
      </c>
      <c r="I160">
        <v>4.0999999999999996</v>
      </c>
      <c r="J160">
        <v>24</v>
      </c>
    </row>
    <row r="161" spans="1:10">
      <c r="A161" t="s">
        <v>354</v>
      </c>
      <c r="B161" t="s">
        <v>355</v>
      </c>
      <c r="C161" t="str">
        <f>LEFT(B161,FIND(" ",B161)-1)</f>
        <v>7SEVENÂ®</v>
      </c>
      <c r="D161" t="str">
        <f>TRIM(RIGHT(E161,LEN(E161)-FIND("@",SUBSTITUTE(E161,"|","@",LEN(E161)-LEN(SUBSTITUTE(E161,"|",""))))))</f>
        <v>RemoteControls</v>
      </c>
      <c r="E161" t="s">
        <v>126</v>
      </c>
      <c r="F161">
        <v>399</v>
      </c>
      <c r="G161">
        <v>899</v>
      </c>
      <c r="H161" s="6">
        <v>56</v>
      </c>
      <c r="I161">
        <v>3.9</v>
      </c>
      <c r="J161">
        <v>254</v>
      </c>
    </row>
    <row r="162" spans="1:10">
      <c r="A162" t="s">
        <v>356</v>
      </c>
      <c r="B162" t="s">
        <v>357</v>
      </c>
      <c r="C162" t="str">
        <f>LEFT(B162,FIND(" ",B162)-1)</f>
        <v>AmazonBasics</v>
      </c>
      <c r="D162" t="str">
        <f>TRIM(RIGHT(E162,LEN(E162)-FIND("@",SUBSTITUTE(E162,"|","@",LEN(E162)-LEN(SUBSTITUTE(E162,"|",""))))))</f>
        <v>OpticalCables</v>
      </c>
      <c r="E162" t="s">
        <v>332</v>
      </c>
      <c r="F162" s="1">
        <v>1089</v>
      </c>
      <c r="G162" s="1">
        <v>1600</v>
      </c>
      <c r="H162" s="6">
        <v>32</v>
      </c>
      <c r="I162">
        <v>4</v>
      </c>
      <c r="J162" s="1">
        <v>3565</v>
      </c>
    </row>
    <row r="163" spans="1:10">
      <c r="A163" t="s">
        <v>358</v>
      </c>
      <c r="B163" t="s">
        <v>359</v>
      </c>
      <c r="C163" t="str">
        <f>LEFT(B163,FIND(" ",B163)-1)</f>
        <v>Wayona</v>
      </c>
      <c r="D163" t="str">
        <f>TRIM(RIGHT(E163,LEN(E163)-FIND("@",SUBSTITUTE(E163,"|","@",LEN(E163)-LEN(SUBSTITUTE(E163,"|",""))))))</f>
        <v>USBCables</v>
      </c>
      <c r="E163" t="s">
        <v>23</v>
      </c>
      <c r="F163">
        <v>339</v>
      </c>
      <c r="G163">
        <v>999</v>
      </c>
      <c r="H163" s="6">
        <v>66</v>
      </c>
      <c r="I163">
        <v>4.3</v>
      </c>
      <c r="J163" s="1">
        <v>6255</v>
      </c>
    </row>
    <row r="164" spans="1:10">
      <c r="A164" t="s">
        <v>360</v>
      </c>
      <c r="B164" t="s">
        <v>361</v>
      </c>
      <c r="C164" t="str">
        <f>LEFT(B164,FIND(" ",B164)-1)</f>
        <v>Pinnaclz</v>
      </c>
      <c r="D164" t="str">
        <f>TRIM(RIGHT(E164,LEN(E164)-FIND("@",SUBSTITUTE(E164,"|","@",LEN(E164)-LEN(SUBSTITUTE(E164,"|",""))))))</f>
        <v>USBCables</v>
      </c>
      <c r="E164" t="s">
        <v>23</v>
      </c>
      <c r="F164">
        <v>149</v>
      </c>
      <c r="G164">
        <v>499</v>
      </c>
      <c r="H164" s="6">
        <v>7</v>
      </c>
      <c r="I164">
        <v>4</v>
      </c>
      <c r="J164" s="1">
        <v>7732</v>
      </c>
    </row>
    <row r="165" spans="1:10">
      <c r="A165" t="s">
        <v>362</v>
      </c>
      <c r="B165" t="s">
        <v>363</v>
      </c>
      <c r="C165" t="str">
        <f>LEFT(B165,FIND(" ",B165)-1)</f>
        <v>Ambrane</v>
      </c>
      <c r="D165" t="str">
        <f>TRIM(RIGHT(E165,LEN(E165)-FIND("@",SUBSTITUTE(E165,"|","@",LEN(E165)-LEN(SUBSTITUTE(E165,"|",""))))))</f>
        <v>USBCables</v>
      </c>
      <c r="E165" t="s">
        <v>23</v>
      </c>
      <c r="F165">
        <v>149</v>
      </c>
      <c r="G165">
        <v>399</v>
      </c>
      <c r="H165" s="6">
        <v>63</v>
      </c>
      <c r="I165">
        <v>3.9</v>
      </c>
      <c r="J165">
        <v>57</v>
      </c>
    </row>
    <row r="166" spans="1:10">
      <c r="A166" t="s">
        <v>364</v>
      </c>
      <c r="B166" t="s">
        <v>365</v>
      </c>
      <c r="C166" t="str">
        <f>LEFT(B166,FIND(" ",B166)-1)</f>
        <v>Belkin</v>
      </c>
      <c r="D166" t="str">
        <f>TRIM(RIGHT(E166,LEN(E166)-FIND("@",SUBSTITUTE(E166,"|","@",LEN(E166)-LEN(SUBSTITUTE(E166,"|",""))))))</f>
        <v>USBCables</v>
      </c>
      <c r="E166" t="s">
        <v>23</v>
      </c>
      <c r="F166">
        <v>599</v>
      </c>
      <c r="G166">
        <v>849</v>
      </c>
      <c r="H166" s="6">
        <v>29</v>
      </c>
      <c r="I166">
        <v>4.5</v>
      </c>
      <c r="J166">
        <v>577</v>
      </c>
    </row>
    <row r="167" spans="1:10">
      <c r="A167" t="s">
        <v>366</v>
      </c>
      <c r="B167" t="s">
        <v>367</v>
      </c>
      <c r="C167" t="str">
        <f>LEFT(B167,FIND(" ",B167)-1)</f>
        <v>LOHAYA</v>
      </c>
      <c r="D167" t="str">
        <f>TRIM(RIGHT(E167,LEN(E167)-FIND("@",SUBSTITUTE(E167,"|","@",LEN(E167)-LEN(SUBSTITUTE(E167,"|",""))))))</f>
        <v>RemoteControls</v>
      </c>
      <c r="E167" t="s">
        <v>126</v>
      </c>
      <c r="F167">
        <v>299</v>
      </c>
      <c r="G167" s="1">
        <v>1199</v>
      </c>
      <c r="H167" s="6">
        <v>75</v>
      </c>
      <c r="I167">
        <v>3.9</v>
      </c>
      <c r="J167" s="1">
        <v>1193</v>
      </c>
    </row>
    <row r="168" spans="1:10">
      <c r="A168" t="s">
        <v>368</v>
      </c>
      <c r="B168" t="s">
        <v>369</v>
      </c>
      <c r="C168" t="str">
        <f>LEFT(B168,FIND(" ",B168)-1)</f>
        <v>Wayona</v>
      </c>
      <c r="D168" t="str">
        <f>TRIM(RIGHT(E168,LEN(E168)-FIND("@",SUBSTITUTE(E168,"|","@",LEN(E168)-LEN(SUBSTITUTE(E168,"|",""))))))</f>
        <v>USBCables</v>
      </c>
      <c r="E168" t="s">
        <v>23</v>
      </c>
      <c r="F168">
        <v>399</v>
      </c>
      <c r="G168" s="1">
        <v>1299</v>
      </c>
      <c r="H168" s="6">
        <v>69</v>
      </c>
      <c r="I168">
        <v>4.2</v>
      </c>
      <c r="J168" s="1">
        <v>13120</v>
      </c>
    </row>
    <row r="169" spans="1:10">
      <c r="A169" t="s">
        <v>370</v>
      </c>
      <c r="B169" t="s">
        <v>371</v>
      </c>
      <c r="C169" t="str">
        <f>LEFT(B169,FIND(" ",B169)-1)</f>
        <v>Electvision</v>
      </c>
      <c r="D169" t="str">
        <f>TRIM(RIGHT(E169,LEN(E169)-FIND("@",SUBSTITUTE(E169,"|","@",LEN(E169)-LEN(SUBSTITUTE(E169,"|",""))))))</f>
        <v>RemoteControls</v>
      </c>
      <c r="E169" t="s">
        <v>126</v>
      </c>
      <c r="F169">
        <v>339</v>
      </c>
      <c r="G169" s="1">
        <v>1999</v>
      </c>
      <c r="H169" s="6">
        <v>83</v>
      </c>
      <c r="I169">
        <v>4</v>
      </c>
      <c r="J169">
        <v>343</v>
      </c>
    </row>
    <row r="170" spans="1:10">
      <c r="A170" t="s">
        <v>372</v>
      </c>
      <c r="B170" t="s">
        <v>373</v>
      </c>
      <c r="C170" t="str">
        <f>LEFT(B170,FIND(" ",B170)-1)</f>
        <v>Acer</v>
      </c>
      <c r="D170" t="str">
        <f>TRIM(RIGHT(E170,LEN(E170)-FIND("@",SUBSTITUTE(E170,"|","@",LEN(E170)-LEN(SUBSTITUTE(E170,"|",""))))))</f>
        <v>SmartTelevisions</v>
      </c>
      <c r="E170" t="s">
        <v>60</v>
      </c>
      <c r="F170" s="1">
        <v>12499</v>
      </c>
      <c r="G170" s="1">
        <v>22990</v>
      </c>
      <c r="H170" s="6">
        <v>46</v>
      </c>
      <c r="I170">
        <v>4.3</v>
      </c>
      <c r="J170" s="1">
        <v>1611</v>
      </c>
    </row>
    <row r="171" spans="1:10">
      <c r="A171" t="s">
        <v>374</v>
      </c>
      <c r="B171" t="s">
        <v>375</v>
      </c>
      <c r="C171" t="str">
        <f>LEFT(B171,FIND(" ",B171)-1)</f>
        <v>realme</v>
      </c>
      <c r="D171" t="str">
        <f>TRIM(RIGHT(E171,LEN(E171)-FIND("@",SUBSTITUTE(E171,"|","@",LEN(E171)-LEN(SUBSTITUTE(E171,"|",""))))))</f>
        <v>USBCables</v>
      </c>
      <c r="E171" t="s">
        <v>23</v>
      </c>
      <c r="F171">
        <v>249</v>
      </c>
      <c r="G171">
        <v>399</v>
      </c>
      <c r="H171" s="6">
        <v>38</v>
      </c>
      <c r="I171">
        <v>4</v>
      </c>
      <c r="J171" s="1">
        <v>6558</v>
      </c>
    </row>
    <row r="172" spans="1:10">
      <c r="A172" t="s">
        <v>376</v>
      </c>
      <c r="B172" t="s">
        <v>377</v>
      </c>
      <c r="C172" t="str">
        <f>LEFT(B172,FIND(" ",B172)-1)</f>
        <v>TP-Link</v>
      </c>
      <c r="D172" t="str">
        <f>TRIM(RIGHT(E172,LEN(E172)-FIND("@",SUBSTITUTE(E172,"|","@",LEN(E172)-LEN(SUBSTITUTE(E172,"|",""))))))</f>
        <v>WirelessUSBAdapters</v>
      </c>
      <c r="E172" t="s">
        <v>40</v>
      </c>
      <c r="F172" s="1">
        <v>1399</v>
      </c>
      <c r="G172" s="1">
        <v>2499</v>
      </c>
      <c r="H172" s="6">
        <v>44</v>
      </c>
      <c r="I172">
        <v>4.4000000000000004</v>
      </c>
      <c r="J172" s="1">
        <v>23169</v>
      </c>
    </row>
    <row r="173" spans="1:10">
      <c r="A173" t="s">
        <v>378</v>
      </c>
      <c r="B173" t="s">
        <v>379</v>
      </c>
      <c r="C173" t="str">
        <f>LEFT(B173,FIND(" ",B173)-1)</f>
        <v>Acer</v>
      </c>
      <c r="D173" t="str">
        <f>TRIM(RIGHT(E173,LEN(E173)-FIND("@",SUBSTITUTE(E173,"|","@",LEN(E173)-LEN(SUBSTITUTE(E173,"|",""))))))</f>
        <v>SmartTelevisions</v>
      </c>
      <c r="E173" t="s">
        <v>60</v>
      </c>
      <c r="F173" s="1">
        <v>32999</v>
      </c>
      <c r="G173" s="1">
        <v>47990</v>
      </c>
      <c r="H173" s="6">
        <v>31</v>
      </c>
      <c r="I173">
        <v>4.3</v>
      </c>
      <c r="J173" s="1">
        <v>4703</v>
      </c>
    </row>
    <row r="174" spans="1:10">
      <c r="A174" t="s">
        <v>380</v>
      </c>
      <c r="B174" t="s">
        <v>381</v>
      </c>
      <c r="C174" t="str">
        <f>LEFT(B174,FIND(" ",B174)-1)</f>
        <v>Ambrane</v>
      </c>
      <c r="D174" t="str">
        <f>TRIM(RIGHT(E174,LEN(E174)-FIND("@",SUBSTITUTE(E174,"|","@",LEN(E174)-LEN(SUBSTITUTE(E174,"|",""))))))</f>
        <v>USBCables</v>
      </c>
      <c r="E174" t="s">
        <v>23</v>
      </c>
      <c r="F174">
        <v>149</v>
      </c>
      <c r="G174">
        <v>399</v>
      </c>
      <c r="H174" s="6">
        <v>63</v>
      </c>
      <c r="I174">
        <v>4</v>
      </c>
      <c r="J174" s="1">
        <v>1423</v>
      </c>
    </row>
    <row r="175" spans="1:10">
      <c r="A175" t="s">
        <v>382</v>
      </c>
      <c r="B175" t="s">
        <v>383</v>
      </c>
      <c r="C175" t="str">
        <f>LEFT(B175,FIND(" ",B175)-1)</f>
        <v>Wayona</v>
      </c>
      <c r="D175" t="str">
        <f>TRIM(RIGHT(E175,LEN(E175)-FIND("@",SUBSTITUTE(E175,"|","@",LEN(E175)-LEN(SUBSTITUTE(E175,"|",""))))))</f>
        <v>USBCables</v>
      </c>
      <c r="E175" t="s">
        <v>23</v>
      </c>
      <c r="F175">
        <v>325</v>
      </c>
      <c r="G175">
        <v>999</v>
      </c>
      <c r="H175" s="6">
        <v>67</v>
      </c>
      <c r="I175">
        <v>4.3</v>
      </c>
      <c r="J175" s="1">
        <v>2651</v>
      </c>
    </row>
    <row r="176" spans="1:10">
      <c r="A176" t="s">
        <v>384</v>
      </c>
      <c r="B176" t="s">
        <v>385</v>
      </c>
      <c r="C176" t="str">
        <f>LEFT(B176,FIND(" ",B176)-1)</f>
        <v>Syncwire</v>
      </c>
      <c r="D176" t="str">
        <f>TRIM(RIGHT(E176,LEN(E176)-FIND("@",SUBSTITUTE(E176,"|","@",LEN(E176)-LEN(SUBSTITUTE(E176,"|",""))))))</f>
        <v>USBCables</v>
      </c>
      <c r="E176" t="s">
        <v>23</v>
      </c>
      <c r="F176">
        <v>399</v>
      </c>
      <c r="G176" s="1">
        <v>1999</v>
      </c>
      <c r="H176" s="6">
        <v>8</v>
      </c>
      <c r="I176">
        <v>5</v>
      </c>
      <c r="J176">
        <v>5</v>
      </c>
    </row>
    <row r="177" spans="1:10">
      <c r="A177" t="s">
        <v>386</v>
      </c>
      <c r="B177" t="s">
        <v>387</v>
      </c>
      <c r="C177" t="str">
        <f>LEFT(B177,FIND(" ",B177)-1)</f>
        <v>Skadioo</v>
      </c>
      <c r="D177" t="str">
        <f>TRIM(RIGHT(E177,LEN(E177)-FIND("@",SUBSTITUTE(E177,"|","@",LEN(E177)-LEN(SUBSTITUTE(E177,"|",""))))))</f>
        <v>WirelessUSBAdapters</v>
      </c>
      <c r="E177" t="s">
        <v>40</v>
      </c>
      <c r="F177">
        <v>199</v>
      </c>
      <c r="G177">
        <v>499</v>
      </c>
      <c r="H177" s="6">
        <v>6</v>
      </c>
      <c r="I177">
        <v>3.7</v>
      </c>
      <c r="J177">
        <v>612</v>
      </c>
    </row>
    <row r="178" spans="1:10">
      <c r="A178" t="s">
        <v>388</v>
      </c>
      <c r="B178" t="s">
        <v>389</v>
      </c>
      <c r="C178" t="str">
        <f>LEFT(B178,FIND(" ",B178)-1)</f>
        <v>FLiX</v>
      </c>
      <c r="D178" t="str">
        <f>TRIM(RIGHT(E178,LEN(E178)-FIND("@",SUBSTITUTE(E178,"|","@",LEN(E178)-LEN(SUBSTITUTE(E178,"|",""))))))</f>
        <v>USBCables</v>
      </c>
      <c r="E178" t="s">
        <v>23</v>
      </c>
      <c r="F178">
        <v>88</v>
      </c>
      <c r="G178">
        <v>299</v>
      </c>
      <c r="H178" s="6">
        <v>71</v>
      </c>
      <c r="I178">
        <v>4</v>
      </c>
      <c r="J178" s="1">
        <v>9378</v>
      </c>
    </row>
    <row r="179" spans="1:10">
      <c r="A179" t="s">
        <v>390</v>
      </c>
      <c r="B179" t="s">
        <v>391</v>
      </c>
      <c r="C179" t="str">
        <f>LEFT(B179,FIND(" ",B179)-1)</f>
        <v>Zoul</v>
      </c>
      <c r="D179" t="str">
        <f>TRIM(RIGHT(E179,LEN(E179)-FIND("@",SUBSTITUTE(E179,"|","@",LEN(E179)-LEN(SUBSTITUTE(E179,"|",""))))))</f>
        <v>USBCables</v>
      </c>
      <c r="E179" t="s">
        <v>23</v>
      </c>
      <c r="F179">
        <v>399</v>
      </c>
      <c r="G179" s="1">
        <v>1099</v>
      </c>
      <c r="H179" s="6">
        <v>64</v>
      </c>
      <c r="I179">
        <v>4.0999999999999996</v>
      </c>
      <c r="J179" s="1">
        <v>2685</v>
      </c>
    </row>
    <row r="180" spans="1:10">
      <c r="A180" t="s">
        <v>392</v>
      </c>
      <c r="B180" t="s">
        <v>393</v>
      </c>
      <c r="C180" t="str">
        <f>LEFT(B180,FIND(" ",B180)-1)</f>
        <v>FLiX</v>
      </c>
      <c r="D180" t="str">
        <f>TRIM(RIGHT(E180,LEN(E180)-FIND("@",SUBSTITUTE(E180,"|","@",LEN(E180)-LEN(SUBSTITUTE(E180,"|",""))))))</f>
        <v>USBCables</v>
      </c>
      <c r="E180" t="s">
        <v>23</v>
      </c>
      <c r="F180">
        <v>57.89</v>
      </c>
      <c r="G180">
        <v>199</v>
      </c>
      <c r="H180" s="6">
        <v>71</v>
      </c>
      <c r="I180">
        <v>4</v>
      </c>
      <c r="J180" s="1">
        <v>9378</v>
      </c>
    </row>
    <row r="181" spans="1:10">
      <c r="A181" t="s">
        <v>394</v>
      </c>
      <c r="B181" t="s">
        <v>395</v>
      </c>
      <c r="C181" t="str">
        <f>LEFT(B181,FIND(" ",B181)-1)</f>
        <v>7SEVENÂ®</v>
      </c>
      <c r="D181" t="str">
        <f>TRIM(RIGHT(E181,LEN(E181)-FIND("@",SUBSTITUTE(E181,"|","@",LEN(E181)-LEN(SUBSTITUTE(E181,"|",""))))))</f>
        <v>RemoteControls</v>
      </c>
      <c r="E181" t="s">
        <v>126</v>
      </c>
      <c r="F181">
        <v>799</v>
      </c>
      <c r="G181" s="1">
        <v>1999</v>
      </c>
      <c r="H181" s="6">
        <v>6</v>
      </c>
      <c r="I181">
        <v>3.3</v>
      </c>
      <c r="J181">
        <v>576</v>
      </c>
    </row>
    <row r="182" spans="1:10">
      <c r="A182" t="s">
        <v>396</v>
      </c>
      <c r="B182" t="s">
        <v>397</v>
      </c>
      <c r="C182" t="str">
        <f>LEFT(B182,FIND(" ",B182)-1)</f>
        <v>Sony</v>
      </c>
      <c r="D182" t="str">
        <f>TRIM(RIGHT(E182,LEN(E182)-FIND("@",SUBSTITUTE(E182,"|","@",LEN(E182)-LEN(SUBSTITUTE(E182,"|",""))))))</f>
        <v>RemoteControls</v>
      </c>
      <c r="E182" t="s">
        <v>126</v>
      </c>
      <c r="F182">
        <v>205</v>
      </c>
      <c r="G182">
        <v>499</v>
      </c>
      <c r="H182" s="6">
        <v>59</v>
      </c>
      <c r="I182">
        <v>3.8</v>
      </c>
      <c r="J182">
        <v>313</v>
      </c>
    </row>
    <row r="183" spans="1:10">
      <c r="A183" t="s">
        <v>398</v>
      </c>
      <c r="B183" t="s">
        <v>399</v>
      </c>
      <c r="C183" t="str">
        <f>LEFT(B183,FIND(" ",B183)-1)</f>
        <v>Storite</v>
      </c>
      <c r="D183" t="str">
        <f>TRIM(RIGHT(E183,LEN(E183)-FIND("@",SUBSTITUTE(E183,"|","@",LEN(E183)-LEN(SUBSTITUTE(E183,"|",""))))))</f>
        <v>USBCables</v>
      </c>
      <c r="E183" t="s">
        <v>23</v>
      </c>
      <c r="F183">
        <v>299</v>
      </c>
      <c r="G183">
        <v>699</v>
      </c>
      <c r="H183" s="6">
        <v>57</v>
      </c>
      <c r="I183">
        <v>4.0999999999999996</v>
      </c>
      <c r="J183" s="1">
        <v>2957</v>
      </c>
    </row>
    <row r="184" spans="1:10">
      <c r="A184" t="s">
        <v>400</v>
      </c>
      <c r="B184" t="s">
        <v>401</v>
      </c>
      <c r="C184" t="str">
        <f>LEFT(B184,FIND(" ",B184)-1)</f>
        <v>boAt</v>
      </c>
      <c r="D184" t="str">
        <f>TRIM(RIGHT(E184,LEN(E184)-FIND("@",SUBSTITUTE(E184,"|","@",LEN(E184)-LEN(SUBSTITUTE(E184,"|",""))))))</f>
        <v>USBCables</v>
      </c>
      <c r="E184" t="s">
        <v>23</v>
      </c>
      <c r="F184">
        <v>849</v>
      </c>
      <c r="G184">
        <v>999</v>
      </c>
      <c r="H184" s="6">
        <v>15</v>
      </c>
      <c r="I184">
        <v>4.0999999999999996</v>
      </c>
      <c r="J184" s="1">
        <v>6736</v>
      </c>
    </row>
    <row r="185" spans="1:10">
      <c r="A185" t="s">
        <v>402</v>
      </c>
      <c r="B185" t="s">
        <v>403</v>
      </c>
      <c r="C185" t="str">
        <f>LEFT(B185,FIND(" ",B185)-1)</f>
        <v>AmazonBasics</v>
      </c>
      <c r="D185" t="str">
        <f>TRIM(RIGHT(E185,LEN(E185)-FIND("@",SUBSTITUTE(E185,"|","@",LEN(E185)-LEN(SUBSTITUTE(E185,"|",""))))))</f>
        <v>USBCables</v>
      </c>
      <c r="E185" t="s">
        <v>23</v>
      </c>
      <c r="F185">
        <v>949</v>
      </c>
      <c r="G185" s="1">
        <v>1999</v>
      </c>
      <c r="H185" s="6">
        <v>53</v>
      </c>
      <c r="I185">
        <v>4.4000000000000004</v>
      </c>
      <c r="J185" s="1">
        <v>13552</v>
      </c>
    </row>
    <row r="186" spans="1:10">
      <c r="A186" t="s">
        <v>404</v>
      </c>
      <c r="B186" t="s">
        <v>405</v>
      </c>
      <c r="C186" t="str">
        <f>LEFT(B186,FIND(" ",B186)-1)</f>
        <v>AmazonBasics</v>
      </c>
      <c r="D186" t="str">
        <f>TRIM(RIGHT(E186,LEN(E186)-FIND("@",SUBSTITUTE(E186,"|","@",LEN(E186)-LEN(SUBSTITUTE(E186,"|",""))))))</f>
        <v>USBCables</v>
      </c>
      <c r="E186" t="s">
        <v>23</v>
      </c>
      <c r="F186">
        <v>499</v>
      </c>
      <c r="G186" s="1">
        <v>1200</v>
      </c>
      <c r="H186" s="6">
        <v>58</v>
      </c>
      <c r="I186">
        <v>4.3</v>
      </c>
      <c r="J186" s="1">
        <v>5451</v>
      </c>
    </row>
    <row r="187" spans="1:10">
      <c r="A187" t="s">
        <v>406</v>
      </c>
      <c r="B187" t="s">
        <v>407</v>
      </c>
      <c r="C187" t="str">
        <f>LEFT(B187,FIND(" ",B187)-1)</f>
        <v>Amazon</v>
      </c>
      <c r="D187" t="str">
        <f>TRIM(RIGHT(E187,LEN(E187)-FIND("@",SUBSTITUTE(E187,"|","@",LEN(E187)-LEN(SUBSTITUTE(E187,"|",""))))))</f>
        <v>USBCables</v>
      </c>
      <c r="E187" t="s">
        <v>23</v>
      </c>
      <c r="F187">
        <v>299</v>
      </c>
      <c r="G187">
        <v>485</v>
      </c>
      <c r="H187" s="6">
        <v>38</v>
      </c>
      <c r="I187">
        <v>4.3</v>
      </c>
      <c r="J187" s="1">
        <v>10911</v>
      </c>
    </row>
    <row r="188" spans="1:10">
      <c r="A188" t="s">
        <v>408</v>
      </c>
      <c r="B188" t="s">
        <v>409</v>
      </c>
      <c r="C188" t="str">
        <f>LEFT(B188,FIND(" ",B188)-1)</f>
        <v>AmazonBasics</v>
      </c>
      <c r="D188" t="str">
        <f>TRIM(RIGHT(E188,LEN(E188)-FIND("@",SUBSTITUTE(E188,"|","@",LEN(E188)-LEN(SUBSTITUTE(E188,"|",""))))))</f>
        <v>USBCables</v>
      </c>
      <c r="E188" t="s">
        <v>23</v>
      </c>
      <c r="F188">
        <v>949</v>
      </c>
      <c r="G188" s="1">
        <v>1999</v>
      </c>
      <c r="H188" s="6">
        <v>53</v>
      </c>
      <c r="I188">
        <v>4.4000000000000004</v>
      </c>
      <c r="J188" s="1">
        <v>13552</v>
      </c>
    </row>
    <row r="189" spans="1:10">
      <c r="A189" t="s">
        <v>410</v>
      </c>
      <c r="B189" t="s">
        <v>411</v>
      </c>
      <c r="C189" t="str">
        <f>LEFT(B189,FIND(" ",B189)-1)</f>
        <v>Wayona</v>
      </c>
      <c r="D189" t="str">
        <f>TRIM(RIGHT(E189,LEN(E189)-FIND("@",SUBSTITUTE(E189,"|","@",LEN(E189)-LEN(SUBSTITUTE(E189,"|",""))))))</f>
        <v>USBCables</v>
      </c>
      <c r="E189" t="s">
        <v>23</v>
      </c>
      <c r="F189">
        <v>379</v>
      </c>
      <c r="G189" s="1">
        <v>1099</v>
      </c>
      <c r="H189" s="6">
        <v>66</v>
      </c>
      <c r="I189">
        <v>4.3</v>
      </c>
      <c r="J189" s="1">
        <v>2806</v>
      </c>
    </row>
    <row r="190" spans="1:10">
      <c r="A190" t="s">
        <v>412</v>
      </c>
      <c r="B190" t="s">
        <v>413</v>
      </c>
      <c r="C190" t="str">
        <f>LEFT(B190,FIND(" ",B190)-1)</f>
        <v>Karbonn</v>
      </c>
      <c r="D190" t="str">
        <f>TRIM(RIGHT(E190,LEN(E190)-FIND("@",SUBSTITUTE(E190,"|","@",LEN(E190)-LEN(SUBSTITUTE(E190,"|",""))))))</f>
        <v>SmartTelevisions</v>
      </c>
      <c r="E190" t="s">
        <v>60</v>
      </c>
      <c r="F190" s="1">
        <v>8990</v>
      </c>
      <c r="G190" s="1">
        <v>18990</v>
      </c>
      <c r="H190" s="6">
        <v>53</v>
      </c>
      <c r="I190">
        <v>3.9</v>
      </c>
      <c r="J190">
        <v>350</v>
      </c>
    </row>
    <row r="191" spans="1:10">
      <c r="A191" t="s">
        <v>414</v>
      </c>
      <c r="B191" t="s">
        <v>415</v>
      </c>
      <c r="C191" t="str">
        <f>LEFT(B191,FIND(" ",B191)-1)</f>
        <v>BlueRigger</v>
      </c>
      <c r="D191" t="str">
        <f>TRIM(RIGHT(E191,LEN(E191)-FIND("@",SUBSTITUTE(E191,"|","@",LEN(E191)-LEN(SUBSTITUTE(E191,"|",""))))))</f>
        <v>OpticalCables</v>
      </c>
      <c r="E191" t="s">
        <v>332</v>
      </c>
      <c r="F191">
        <v>486</v>
      </c>
      <c r="G191" s="1">
        <v>1999</v>
      </c>
      <c r="H191" s="6">
        <v>76</v>
      </c>
      <c r="I191">
        <v>4.2</v>
      </c>
      <c r="J191" s="1">
        <v>30023</v>
      </c>
    </row>
    <row r="192" spans="1:10">
      <c r="A192" t="s">
        <v>416</v>
      </c>
      <c r="B192" t="s">
        <v>417</v>
      </c>
      <c r="C192" t="str">
        <f>LEFT(B192,FIND(" ",B192)-1)</f>
        <v>VW</v>
      </c>
      <c r="D192" t="str">
        <f>TRIM(RIGHT(E192,LEN(E192)-FIND("@",SUBSTITUTE(E192,"|","@",LEN(E192)-LEN(SUBSTITUTE(E192,"|",""))))))</f>
        <v>StandardTelevisions</v>
      </c>
      <c r="E192" t="s">
        <v>137</v>
      </c>
      <c r="F192" s="1">
        <v>5699</v>
      </c>
      <c r="G192" s="1">
        <v>11000</v>
      </c>
      <c r="H192" s="6">
        <v>48</v>
      </c>
      <c r="I192">
        <v>4.2</v>
      </c>
      <c r="J192" s="1">
        <v>4003</v>
      </c>
    </row>
    <row r="193" spans="1:10">
      <c r="A193" t="s">
        <v>418</v>
      </c>
      <c r="B193" t="s">
        <v>419</v>
      </c>
      <c r="C193" t="str">
        <f>LEFT(B193,FIND(" ",B193)-1)</f>
        <v>Amazon</v>
      </c>
      <c r="D193" t="str">
        <f>TRIM(RIGHT(E193,LEN(E193)-FIND("@",SUBSTITUTE(E193,"|","@",LEN(E193)-LEN(SUBSTITUTE(E193,"|",""))))))</f>
        <v>USBCables</v>
      </c>
      <c r="E193" t="s">
        <v>23</v>
      </c>
      <c r="F193">
        <v>709</v>
      </c>
      <c r="G193" s="1">
        <v>1999</v>
      </c>
      <c r="H193" s="6">
        <v>65</v>
      </c>
      <c r="I193">
        <v>4.0999999999999996</v>
      </c>
      <c r="J193" t="s">
        <v>420</v>
      </c>
    </row>
    <row r="194" spans="1:10">
      <c r="A194" t="s">
        <v>421</v>
      </c>
      <c r="B194" t="s">
        <v>422</v>
      </c>
      <c r="C194" t="str">
        <f>LEFT(B194,FIND(" ",B194)-1)</f>
        <v>Samsung</v>
      </c>
      <c r="D194" t="str">
        <f>TRIM(RIGHT(E194,LEN(E194)-FIND("@",SUBSTITUTE(E194,"|","@",LEN(E194)-LEN(SUBSTITUTE(E194,"|",""))))))</f>
        <v>SmartTelevisions</v>
      </c>
      <c r="E194" t="s">
        <v>60</v>
      </c>
      <c r="F194" s="1">
        <v>47990</v>
      </c>
      <c r="G194" s="1">
        <v>70900</v>
      </c>
      <c r="H194" s="6">
        <v>32</v>
      </c>
      <c r="I194">
        <v>4.3</v>
      </c>
      <c r="J194" s="1">
        <v>7109</v>
      </c>
    </row>
    <row r="195" spans="1:10">
      <c r="A195" t="s">
        <v>423</v>
      </c>
      <c r="B195" t="s">
        <v>424</v>
      </c>
      <c r="C195" t="str">
        <f>LEFT(B195,FIND(" ",B195)-1)</f>
        <v>LOHAYA</v>
      </c>
      <c r="D195" t="str">
        <f>TRIM(RIGHT(E195,LEN(E195)-FIND("@",SUBSTITUTE(E195,"|","@",LEN(E195)-LEN(SUBSTITUTE(E195,"|",""))))))</f>
        <v>RemoteControls</v>
      </c>
      <c r="E195" t="s">
        <v>126</v>
      </c>
      <c r="F195">
        <v>299</v>
      </c>
      <c r="G195" s="1">
        <v>1199</v>
      </c>
      <c r="H195" s="6">
        <v>75</v>
      </c>
      <c r="I195">
        <v>3.7</v>
      </c>
      <c r="J195">
        <v>490</v>
      </c>
    </row>
    <row r="196" spans="1:10">
      <c r="A196" t="s">
        <v>425</v>
      </c>
      <c r="B196" t="s">
        <v>426</v>
      </c>
      <c r="C196" t="str">
        <f>LEFT(B196,FIND(" ",B196)-1)</f>
        <v>Duracell</v>
      </c>
      <c r="D196" t="str">
        <f>TRIM(RIGHT(E196,LEN(E196)-FIND("@",SUBSTITUTE(E196,"|","@",LEN(E196)-LEN(SUBSTITUTE(E196,"|",""))))))</f>
        <v>USBCables</v>
      </c>
      <c r="E196" t="s">
        <v>23</v>
      </c>
      <c r="F196">
        <v>320</v>
      </c>
      <c r="G196">
        <v>599</v>
      </c>
      <c r="H196" s="6">
        <v>47</v>
      </c>
      <c r="I196">
        <v>4.0999999999999996</v>
      </c>
      <c r="J196">
        <v>491</v>
      </c>
    </row>
    <row r="197" spans="1:10">
      <c r="A197" t="s">
        <v>427</v>
      </c>
      <c r="B197" t="s">
        <v>428</v>
      </c>
      <c r="C197" t="str">
        <f>LEFT(B197,FIND(" ",B197)-1)</f>
        <v>Zebronics</v>
      </c>
      <c r="D197" t="str">
        <f>TRIM(RIGHT(E197,LEN(E197)-FIND("@",SUBSTITUTE(E197,"|","@",LEN(E197)-LEN(SUBSTITUTE(E197,"|",""))))))</f>
        <v>USBCables</v>
      </c>
      <c r="E197" t="s">
        <v>23</v>
      </c>
      <c r="F197">
        <v>139</v>
      </c>
      <c r="G197">
        <v>549</v>
      </c>
      <c r="H197" s="6">
        <v>75</v>
      </c>
      <c r="I197">
        <v>3.9</v>
      </c>
      <c r="J197">
        <v>61</v>
      </c>
    </row>
    <row r="198" spans="1:10">
      <c r="A198" t="s">
        <v>429</v>
      </c>
      <c r="B198" t="s">
        <v>430</v>
      </c>
      <c r="C198" t="str">
        <f>LEFT(B198,FIND(" ",B198)-1)</f>
        <v>FLiX</v>
      </c>
      <c r="D198" t="str">
        <f>TRIM(RIGHT(E198,LEN(E198)-FIND("@",SUBSTITUTE(E198,"|","@",LEN(E198)-LEN(SUBSTITUTE(E198,"|",""))))))</f>
        <v>USBCables</v>
      </c>
      <c r="E198" t="s">
        <v>23</v>
      </c>
      <c r="F198">
        <v>129</v>
      </c>
      <c r="G198">
        <v>249</v>
      </c>
      <c r="H198" s="6">
        <v>48</v>
      </c>
      <c r="I198">
        <v>4</v>
      </c>
      <c r="J198" s="1">
        <v>9378</v>
      </c>
    </row>
    <row r="199" spans="1:10">
      <c r="A199" t="s">
        <v>431</v>
      </c>
      <c r="B199" t="s">
        <v>432</v>
      </c>
      <c r="C199" t="str">
        <f>LEFT(B199,FIND(" ",B199)-1)</f>
        <v>MI</v>
      </c>
      <c r="D199" t="str">
        <f>TRIM(RIGHT(E199,LEN(E199)-FIND("@",SUBSTITUTE(E199,"|","@",LEN(E199)-LEN(SUBSTITUTE(E199,"|",""))))))</f>
        <v>SmartTelevisions</v>
      </c>
      <c r="E199" t="s">
        <v>60</v>
      </c>
      <c r="F199" s="1">
        <v>24999</v>
      </c>
      <c r="G199" s="1">
        <v>35999</v>
      </c>
      <c r="H199" s="6">
        <v>31</v>
      </c>
      <c r="I199">
        <v>4.2</v>
      </c>
      <c r="J199" s="1">
        <v>32840</v>
      </c>
    </row>
    <row r="200" spans="1:10">
      <c r="A200" t="s">
        <v>433</v>
      </c>
      <c r="B200" t="s">
        <v>434</v>
      </c>
      <c r="C200" t="str">
        <f>LEFT(B200,FIND(" ",B200)-1)</f>
        <v>Belkin</v>
      </c>
      <c r="D200" t="str">
        <f>TRIM(RIGHT(E200,LEN(E200)-FIND("@",SUBSTITUTE(E200,"|","@",LEN(E200)-LEN(SUBSTITUTE(E200,"|",""))))))</f>
        <v>USBCables</v>
      </c>
      <c r="E200" t="s">
        <v>23</v>
      </c>
      <c r="F200">
        <v>999</v>
      </c>
      <c r="G200" s="1">
        <v>1699</v>
      </c>
      <c r="H200" s="6">
        <v>41</v>
      </c>
      <c r="I200">
        <v>4.4000000000000004</v>
      </c>
      <c r="J200" s="1">
        <v>7318</v>
      </c>
    </row>
    <row r="201" spans="1:10">
      <c r="A201" t="s">
        <v>435</v>
      </c>
      <c r="B201" t="s">
        <v>436</v>
      </c>
      <c r="C201" t="str">
        <f>LEFT(B201,FIND(" ",B201)-1)</f>
        <v>Time</v>
      </c>
      <c r="D201" t="str">
        <f>TRIM(RIGHT(E201,LEN(E201)-FIND("@",SUBSTITUTE(E201,"|","@",LEN(E201)-LEN(SUBSTITUTE(E201,"|",""))))))</f>
        <v>USBCables</v>
      </c>
      <c r="E201" t="s">
        <v>23</v>
      </c>
      <c r="F201">
        <v>225</v>
      </c>
      <c r="G201">
        <v>499</v>
      </c>
      <c r="H201" s="6">
        <v>55</v>
      </c>
      <c r="I201">
        <v>4.0999999999999996</v>
      </c>
      <c r="J201">
        <v>789</v>
      </c>
    </row>
    <row r="202" spans="1:10">
      <c r="A202" t="s">
        <v>437</v>
      </c>
      <c r="B202" t="s">
        <v>438</v>
      </c>
      <c r="C202" t="str">
        <f>LEFT(B202,FIND(" ",B202)-1)</f>
        <v>Caldipree</v>
      </c>
      <c r="D202" t="str">
        <f>TRIM(RIGHT(E202,LEN(E202)-FIND("@",SUBSTITUTE(E202,"|","@",LEN(E202)-LEN(SUBSTITUTE(E202,"|",""))))))</f>
        <v>RemoteControls</v>
      </c>
      <c r="E202" t="s">
        <v>126</v>
      </c>
      <c r="F202">
        <v>547</v>
      </c>
      <c r="G202" s="1">
        <v>2999</v>
      </c>
      <c r="H202" s="6">
        <v>82</v>
      </c>
      <c r="I202">
        <v>4.3</v>
      </c>
      <c r="J202">
        <v>407</v>
      </c>
    </row>
    <row r="203" spans="1:10">
      <c r="A203" t="s">
        <v>439</v>
      </c>
      <c r="B203" t="s">
        <v>440</v>
      </c>
      <c r="C203" t="str">
        <f>LEFT(B203,FIND(" ",B203)-1)</f>
        <v>Storite</v>
      </c>
      <c r="D203" t="str">
        <f>TRIM(RIGHT(E203,LEN(E203)-FIND("@",SUBSTITUTE(E203,"|","@",LEN(E203)-LEN(SUBSTITUTE(E203,"|",""))))))</f>
        <v>USBCables</v>
      </c>
      <c r="E203" t="s">
        <v>23</v>
      </c>
      <c r="F203">
        <v>259</v>
      </c>
      <c r="G203">
        <v>699</v>
      </c>
      <c r="H203" s="6">
        <v>63</v>
      </c>
      <c r="I203">
        <v>3.8</v>
      </c>
      <c r="J203" s="1">
        <v>2399</v>
      </c>
    </row>
    <row r="204" spans="1:10">
      <c r="A204" t="s">
        <v>441</v>
      </c>
      <c r="B204" t="s">
        <v>442</v>
      </c>
      <c r="C204" t="str">
        <f>LEFT(B204,FIND(" ",B204)-1)</f>
        <v>Universal</v>
      </c>
      <c r="D204" t="str">
        <f>TRIM(RIGHT(E204,LEN(E204)-FIND("@",SUBSTITUTE(E204,"|","@",LEN(E204)-LEN(SUBSTITUTE(E204,"|",""))))))</f>
        <v>RemoteControls</v>
      </c>
      <c r="E204" t="s">
        <v>126</v>
      </c>
      <c r="F204">
        <v>239</v>
      </c>
      <c r="G204">
        <v>699</v>
      </c>
      <c r="H204" s="6">
        <v>66</v>
      </c>
      <c r="I204">
        <v>4.4000000000000004</v>
      </c>
      <c r="J204" s="1">
        <v>2640</v>
      </c>
    </row>
    <row r="205" spans="1:10">
      <c r="A205" t="s">
        <v>443</v>
      </c>
      <c r="B205" t="s">
        <v>444</v>
      </c>
      <c r="C205" t="str">
        <f>LEFT(B205,FIND(" ",B205)-1)</f>
        <v>Cotbolt</v>
      </c>
      <c r="D205" t="str">
        <f>TRIM(RIGHT(E205,LEN(E205)-FIND("@",SUBSTITUTE(E205,"|","@",LEN(E205)-LEN(SUBSTITUTE(E205,"|",""))))))</f>
        <v>RemoteControls</v>
      </c>
      <c r="E205" t="s">
        <v>126</v>
      </c>
      <c r="F205">
        <v>349</v>
      </c>
      <c r="G205">
        <v>999</v>
      </c>
      <c r="H205" s="6">
        <v>65</v>
      </c>
      <c r="I205">
        <v>4</v>
      </c>
      <c r="J205">
        <v>839</v>
      </c>
    </row>
    <row r="206" spans="1:10">
      <c r="A206" t="s">
        <v>445</v>
      </c>
      <c r="B206" t="s">
        <v>446</v>
      </c>
      <c r="C206" t="str">
        <f>LEFT(B206,FIND(" ",B206)-1)</f>
        <v>BlueRigger</v>
      </c>
      <c r="D206" t="str">
        <f>TRIM(RIGHT(E206,LEN(E206)-FIND("@",SUBSTITUTE(E206,"|","@",LEN(E206)-LEN(SUBSTITUTE(E206,"|",""))))))</f>
        <v>HDMICables</v>
      </c>
      <c r="E206" t="s">
        <v>50</v>
      </c>
      <c r="F206">
        <v>467</v>
      </c>
      <c r="G206">
        <v>599</v>
      </c>
      <c r="H206" s="6">
        <v>22</v>
      </c>
      <c r="I206">
        <v>4.4000000000000004</v>
      </c>
      <c r="J206" s="1">
        <v>44054</v>
      </c>
    </row>
    <row r="207" spans="1:10">
      <c r="A207" t="s">
        <v>447</v>
      </c>
      <c r="B207" t="s">
        <v>448</v>
      </c>
      <c r="C207" t="str">
        <f>LEFT(B207,FIND(" ",B207)-1)</f>
        <v>Amkette</v>
      </c>
      <c r="D207" t="str">
        <f>TRIM(RIGHT(E207,LEN(E207)-FIND("@",SUBSTITUTE(E207,"|","@",LEN(E207)-LEN(SUBSTITUTE(E207,"|",""))))))</f>
        <v>USBCables</v>
      </c>
      <c r="E207" t="s">
        <v>23</v>
      </c>
      <c r="F207">
        <v>449</v>
      </c>
      <c r="G207">
        <v>599</v>
      </c>
      <c r="H207" s="6">
        <v>25</v>
      </c>
      <c r="I207">
        <v>4</v>
      </c>
      <c r="J207" s="1">
        <v>3231</v>
      </c>
    </row>
    <row r="208" spans="1:10">
      <c r="A208" t="s">
        <v>449</v>
      </c>
      <c r="B208" t="s">
        <v>450</v>
      </c>
      <c r="C208" t="str">
        <f>LEFT(B208,FIND(" ",B208)-1)</f>
        <v>TCL</v>
      </c>
      <c r="D208" t="str">
        <f>TRIM(RIGHT(E208,LEN(E208)-FIND("@",SUBSTITUTE(E208,"|","@",LEN(E208)-LEN(SUBSTITUTE(E208,"|",""))))))</f>
        <v>SmartTelevisions</v>
      </c>
      <c r="E208" t="s">
        <v>60</v>
      </c>
      <c r="F208" s="1">
        <v>11990</v>
      </c>
      <c r="G208" s="1">
        <v>31990</v>
      </c>
      <c r="H208" s="6">
        <v>63</v>
      </c>
      <c r="I208">
        <v>4.2</v>
      </c>
      <c r="J208">
        <v>64</v>
      </c>
    </row>
    <row r="209" spans="1:10">
      <c r="A209" t="s">
        <v>451</v>
      </c>
      <c r="B209" t="s">
        <v>452</v>
      </c>
      <c r="C209" t="str">
        <f>LEFT(B209,FIND(" ",B209)-1)</f>
        <v>POPIO</v>
      </c>
      <c r="D209" t="str">
        <f>TRIM(RIGHT(E209,LEN(E209)-FIND("@",SUBSTITUTE(E209,"|","@",LEN(E209)-LEN(SUBSTITUTE(E209,"|",""))))))</f>
        <v>USBCables</v>
      </c>
      <c r="E209" t="s">
        <v>23</v>
      </c>
      <c r="F209">
        <v>350</v>
      </c>
      <c r="G209">
        <v>599</v>
      </c>
      <c r="H209" s="6">
        <v>42</v>
      </c>
      <c r="I209">
        <v>3.9</v>
      </c>
      <c r="J209" s="1">
        <v>8314</v>
      </c>
    </row>
    <row r="210" spans="1:10">
      <c r="A210" t="s">
        <v>453</v>
      </c>
      <c r="B210" t="s">
        <v>454</v>
      </c>
      <c r="C210" t="str">
        <f>LEFT(B210,FIND(" ",B210)-1)</f>
        <v>MYVN</v>
      </c>
      <c r="D210" t="str">
        <f>TRIM(RIGHT(E210,LEN(E210)-FIND("@",SUBSTITUTE(E210,"|","@",LEN(E210)-LEN(SUBSTITUTE(E210,"|",""))))))</f>
        <v>USBCables</v>
      </c>
      <c r="E210" t="s">
        <v>23</v>
      </c>
      <c r="F210">
        <v>252</v>
      </c>
      <c r="G210">
        <v>999</v>
      </c>
      <c r="H210" s="6">
        <v>75</v>
      </c>
      <c r="I210">
        <v>3.7</v>
      </c>
      <c r="J210" s="1">
        <v>2249</v>
      </c>
    </row>
    <row r="211" spans="1:10">
      <c r="A211" t="s">
        <v>455</v>
      </c>
      <c r="B211" t="s">
        <v>456</v>
      </c>
      <c r="C211" t="str">
        <f>LEFT(B211,FIND(" ",B211)-1)</f>
        <v>Tata</v>
      </c>
      <c r="D211" t="str">
        <f>TRIM(RIGHT(E211,LEN(E211)-FIND("@",SUBSTITUTE(E211,"|","@",LEN(E211)-LEN(SUBSTITUTE(E211,"|",""))))))</f>
        <v>RemoteControls</v>
      </c>
      <c r="E211" t="s">
        <v>126</v>
      </c>
      <c r="F211">
        <v>204</v>
      </c>
      <c r="G211">
        <v>599</v>
      </c>
      <c r="H211" s="6">
        <v>66</v>
      </c>
      <c r="I211">
        <v>3.6</v>
      </c>
      <c r="J211">
        <v>339</v>
      </c>
    </row>
    <row r="212" spans="1:10">
      <c r="A212" t="s">
        <v>457</v>
      </c>
      <c r="B212" t="s">
        <v>458</v>
      </c>
      <c r="C212" t="str">
        <f>LEFT(B212,FIND(" ",B212)-1)</f>
        <v>WZATCO</v>
      </c>
      <c r="D212" t="str">
        <f>TRIM(RIGHT(E212,LEN(E212)-FIND("@",SUBSTITUTE(E212,"|","@",LEN(E212)-LEN(SUBSTITUTE(E212,"|",""))))))</f>
        <v>Projectors</v>
      </c>
      <c r="E212" t="s">
        <v>351</v>
      </c>
      <c r="F212" s="1">
        <v>6490</v>
      </c>
      <c r="G212" s="1">
        <v>9990</v>
      </c>
      <c r="H212" s="6">
        <v>35</v>
      </c>
      <c r="I212">
        <v>4</v>
      </c>
      <c r="J212">
        <v>27</v>
      </c>
    </row>
    <row r="213" spans="1:10">
      <c r="A213" t="s">
        <v>459</v>
      </c>
      <c r="B213" t="s">
        <v>460</v>
      </c>
      <c r="C213" t="str">
        <f>LEFT(B213,FIND(" ",B213)-1)</f>
        <v>7SEVENÂ®</v>
      </c>
      <c r="D213" t="str">
        <f>TRIM(RIGHT(E213,LEN(E213)-FIND("@",SUBSTITUTE(E213,"|","@",LEN(E213)-LEN(SUBSTITUTE(E213,"|",""))))))</f>
        <v>RemoteControls</v>
      </c>
      <c r="E213" t="s">
        <v>126</v>
      </c>
      <c r="F213">
        <v>235</v>
      </c>
      <c r="G213">
        <v>599</v>
      </c>
      <c r="H213" s="6">
        <v>61</v>
      </c>
      <c r="I213">
        <v>3.5</v>
      </c>
      <c r="J213">
        <v>197</v>
      </c>
    </row>
    <row r="214" spans="1:10">
      <c r="A214" t="s">
        <v>461</v>
      </c>
      <c r="B214" t="s">
        <v>462</v>
      </c>
      <c r="C214" t="str">
        <f>LEFT(B214,FIND(" ",B214)-1)</f>
        <v>AmazonBasics</v>
      </c>
      <c r="D214" t="str">
        <f>TRIM(RIGHT(E214,LEN(E214)-FIND("@",SUBSTITUTE(E214,"|","@",LEN(E214)-LEN(SUBSTITUTE(E214,"|",""))))))</f>
        <v>USBCables</v>
      </c>
      <c r="E214" t="s">
        <v>23</v>
      </c>
      <c r="F214">
        <v>299</v>
      </c>
      <c r="G214">
        <v>800</v>
      </c>
      <c r="H214" s="6">
        <v>63</v>
      </c>
      <c r="I214">
        <v>4.5</v>
      </c>
      <c r="J214" s="1">
        <v>74977</v>
      </c>
    </row>
    <row r="215" spans="1:10">
      <c r="A215" t="s">
        <v>463</v>
      </c>
      <c r="B215" t="s">
        <v>464</v>
      </c>
      <c r="C215" t="str">
        <f>LEFT(B215,FIND(" ",B215)-1)</f>
        <v>Amazon</v>
      </c>
      <c r="D215" t="str">
        <f>TRIM(RIGHT(E215,LEN(E215)-FIND("@",SUBSTITUTE(E215,"|","@",LEN(E215)-LEN(SUBSTITUTE(E215,"|",""))))))</f>
        <v>USBCables</v>
      </c>
      <c r="E215" t="s">
        <v>23</v>
      </c>
      <c r="F215">
        <v>799</v>
      </c>
      <c r="G215" s="1">
        <v>1999</v>
      </c>
      <c r="H215" s="6">
        <v>6</v>
      </c>
      <c r="I215">
        <v>4.2</v>
      </c>
      <c r="J215" s="1">
        <v>8583</v>
      </c>
    </row>
    <row r="216" spans="1:10">
      <c r="A216" t="s">
        <v>465</v>
      </c>
      <c r="B216" t="s">
        <v>466</v>
      </c>
      <c r="C216" t="str">
        <f>LEFT(B216,FIND(" ",B216)-1)</f>
        <v>Crypoâ„¢</v>
      </c>
      <c r="D216" t="str">
        <f>TRIM(RIGHT(E216,LEN(E216)-FIND("@",SUBSTITUTE(E216,"|","@",LEN(E216)-LEN(SUBSTITUTE(E216,"|",""))))))</f>
        <v>RemoteControls</v>
      </c>
      <c r="E216" t="s">
        <v>126</v>
      </c>
      <c r="F216">
        <v>299</v>
      </c>
      <c r="G216">
        <v>999</v>
      </c>
      <c r="H216" s="6">
        <v>7</v>
      </c>
      <c r="I216">
        <v>3.8</v>
      </c>
      <c r="J216">
        <v>928</v>
      </c>
    </row>
    <row r="217" spans="1:10">
      <c r="A217" t="s">
        <v>467</v>
      </c>
      <c r="B217" t="s">
        <v>468</v>
      </c>
      <c r="C217" t="str">
        <f>LEFT(B217,FIND(" ",B217)-1)</f>
        <v>Karbonn</v>
      </c>
      <c r="D217" t="str">
        <f>TRIM(RIGHT(E217,LEN(E217)-FIND("@",SUBSTITUTE(E217,"|","@",LEN(E217)-LEN(SUBSTITUTE(E217,"|",""))))))</f>
        <v>StandardTelevisions</v>
      </c>
      <c r="E217" t="s">
        <v>137</v>
      </c>
      <c r="F217" s="1">
        <v>6999</v>
      </c>
      <c r="G217" s="1">
        <v>16990</v>
      </c>
      <c r="H217" s="6">
        <v>59</v>
      </c>
      <c r="I217">
        <v>3.8</v>
      </c>
      <c r="J217">
        <v>110</v>
      </c>
    </row>
    <row r="218" spans="1:10">
      <c r="A218" t="s">
        <v>469</v>
      </c>
      <c r="B218" t="s">
        <v>470</v>
      </c>
      <c r="C218" t="str">
        <f>LEFT(B218,FIND(" ",B218)-1)</f>
        <v>OnePlus</v>
      </c>
      <c r="D218" t="str">
        <f>TRIM(RIGHT(E218,LEN(E218)-FIND("@",SUBSTITUTE(E218,"|","@",LEN(E218)-LEN(SUBSTITUTE(E218,"|",""))))))</f>
        <v>SmartTelevisions</v>
      </c>
      <c r="E218" t="s">
        <v>60</v>
      </c>
      <c r="F218" s="1">
        <v>42999</v>
      </c>
      <c r="G218" s="1">
        <v>59999</v>
      </c>
      <c r="H218" s="6">
        <v>28</v>
      </c>
      <c r="I218">
        <v>4.0999999999999996</v>
      </c>
      <c r="J218" s="1">
        <v>6753</v>
      </c>
    </row>
    <row r="219" spans="1:10">
      <c r="A219" t="s">
        <v>471</v>
      </c>
      <c r="B219" t="s">
        <v>472</v>
      </c>
      <c r="C219" t="str">
        <f>LEFT(B219,FIND(" ",B219)-1)</f>
        <v>Posh</v>
      </c>
      <c r="D219" t="str">
        <f>TRIM(RIGHT(E219,LEN(E219)-FIND("@",SUBSTITUTE(E219,"|","@",LEN(E219)-LEN(SUBSTITUTE(E219,"|",""))))))</f>
        <v>HDMICables</v>
      </c>
      <c r="E219" t="s">
        <v>50</v>
      </c>
      <c r="F219">
        <v>173</v>
      </c>
      <c r="G219">
        <v>999</v>
      </c>
      <c r="H219" s="6">
        <v>83</v>
      </c>
      <c r="I219">
        <v>4.3</v>
      </c>
      <c r="J219" s="1">
        <v>1237</v>
      </c>
    </row>
    <row r="220" spans="1:10">
      <c r="A220" t="s">
        <v>473</v>
      </c>
      <c r="B220" t="s">
        <v>474</v>
      </c>
      <c r="C220" t="str">
        <f>LEFT(B220,FIND(" ",B220)-1)</f>
        <v>Amazon</v>
      </c>
      <c r="D220" t="str">
        <f>TRIM(RIGHT(E220,LEN(E220)-FIND("@",SUBSTITUTE(E220,"|","@",LEN(E220)-LEN(SUBSTITUTE(E220,"|",""))))))</f>
        <v>Adapters</v>
      </c>
      <c r="E220" t="s">
        <v>475</v>
      </c>
      <c r="F220">
        <v>209</v>
      </c>
      <c r="G220">
        <v>600</v>
      </c>
      <c r="H220" s="6">
        <v>65</v>
      </c>
      <c r="I220">
        <v>4.4000000000000004</v>
      </c>
      <c r="J220" s="1">
        <v>18872</v>
      </c>
    </row>
    <row r="221" spans="1:10">
      <c r="A221" t="s">
        <v>476</v>
      </c>
      <c r="B221" t="s">
        <v>477</v>
      </c>
      <c r="C221" t="str">
        <f>LEFT(B221,FIND(" ",B221)-1)</f>
        <v>boAt</v>
      </c>
      <c r="D221" t="str">
        <f>TRIM(RIGHT(E221,LEN(E221)-FIND("@",SUBSTITUTE(E221,"|","@",LEN(E221)-LEN(SUBSTITUTE(E221,"|",""))))))</f>
        <v>USBCables</v>
      </c>
      <c r="E221" t="s">
        <v>23</v>
      </c>
      <c r="F221">
        <v>848.99</v>
      </c>
      <c r="G221" s="1">
        <v>1490</v>
      </c>
      <c r="H221" s="6">
        <v>43</v>
      </c>
      <c r="I221">
        <v>3.9</v>
      </c>
      <c r="J221">
        <v>356</v>
      </c>
    </row>
    <row r="222" spans="1:10">
      <c r="A222" t="s">
        <v>478</v>
      </c>
      <c r="B222" t="s">
        <v>479</v>
      </c>
      <c r="C222" t="str">
        <f>LEFT(B222,FIND(" ",B222)-1)</f>
        <v>Wayona</v>
      </c>
      <c r="D222" t="str">
        <f>TRIM(RIGHT(E222,LEN(E222)-FIND("@",SUBSTITUTE(E222,"|","@",LEN(E222)-LEN(SUBSTITUTE(E222,"|",""))))))</f>
        <v>USBCables</v>
      </c>
      <c r="E222" t="s">
        <v>23</v>
      </c>
      <c r="F222">
        <v>649</v>
      </c>
      <c r="G222" s="1">
        <v>1999</v>
      </c>
      <c r="H222" s="6">
        <v>68</v>
      </c>
      <c r="I222">
        <v>4.2</v>
      </c>
      <c r="J222" s="1">
        <v>24269</v>
      </c>
    </row>
    <row r="223" spans="1:10">
      <c r="A223" t="s">
        <v>480</v>
      </c>
      <c r="B223" t="s">
        <v>481</v>
      </c>
      <c r="C223" t="str">
        <f>LEFT(B223,FIND(" ",B223)-1)</f>
        <v>Astigo</v>
      </c>
      <c r="D223" t="str">
        <f>TRIM(RIGHT(E223,LEN(E223)-FIND("@",SUBSTITUTE(E223,"|","@",LEN(E223)-LEN(SUBSTITUTE(E223,"|",""))))))</f>
        <v>RemoteControls</v>
      </c>
      <c r="E223" t="s">
        <v>126</v>
      </c>
      <c r="F223">
        <v>299</v>
      </c>
      <c r="G223">
        <v>899</v>
      </c>
      <c r="H223" s="6">
        <v>67</v>
      </c>
      <c r="I223">
        <v>3.8</v>
      </c>
      <c r="J223">
        <v>425</v>
      </c>
    </row>
    <row r="224" spans="1:10">
      <c r="A224" t="s">
        <v>482</v>
      </c>
      <c r="B224" t="s">
        <v>483</v>
      </c>
      <c r="C224" t="str">
        <f>LEFT(B224,FIND(" ",B224)-1)</f>
        <v>Caprigo</v>
      </c>
      <c r="D224" t="str">
        <f>TRIM(RIGHT(E224,LEN(E224)-FIND("@",SUBSTITUTE(E224,"|","@",LEN(E224)-LEN(SUBSTITUTE(E224,"|",""))))))</f>
        <v>TVWall&amp;CeilingMounts</v>
      </c>
      <c r="E224" t="s">
        <v>168</v>
      </c>
      <c r="F224">
        <v>399</v>
      </c>
      <c r="G224">
        <v>799</v>
      </c>
      <c r="H224" s="6">
        <v>5</v>
      </c>
      <c r="I224">
        <v>4.0999999999999996</v>
      </c>
      <c r="J224" s="1">
        <v>1161</v>
      </c>
    </row>
    <row r="225" spans="1:10">
      <c r="A225" t="s">
        <v>484</v>
      </c>
      <c r="B225" t="s">
        <v>485</v>
      </c>
      <c r="C225" t="str">
        <f>LEFT(B225,FIND(" ",B225)-1)</f>
        <v>Portronics</v>
      </c>
      <c r="D225" t="str">
        <f>TRIM(RIGHT(E225,LEN(E225)-FIND("@",SUBSTITUTE(E225,"|","@",LEN(E225)-LEN(SUBSTITUTE(E225,"|",""))))))</f>
        <v>USBCables</v>
      </c>
      <c r="E225" t="s">
        <v>23</v>
      </c>
      <c r="F225">
        <v>249</v>
      </c>
      <c r="G225">
        <v>499</v>
      </c>
      <c r="H225" s="6">
        <v>5</v>
      </c>
      <c r="I225">
        <v>4.0999999999999996</v>
      </c>
      <c r="J225" s="1">
        <v>1508</v>
      </c>
    </row>
    <row r="226" spans="1:10">
      <c r="A226" t="s">
        <v>486</v>
      </c>
      <c r="B226" t="s">
        <v>487</v>
      </c>
      <c r="C226" t="str">
        <f>LEFT(B226,FIND(" ",B226)-1)</f>
        <v>TATA</v>
      </c>
      <c r="D226" t="str">
        <f>TRIM(RIGHT(E226,LEN(E226)-FIND("@",SUBSTITUTE(E226,"|","@",LEN(E226)-LEN(SUBSTITUTE(E226,"|",""))))))</f>
        <v>SatelliteReceivers</v>
      </c>
      <c r="E226" t="s">
        <v>488</v>
      </c>
      <c r="F226" s="1">
        <v>1249</v>
      </c>
      <c r="G226" s="1">
        <v>2299</v>
      </c>
      <c r="H226" s="6">
        <v>46</v>
      </c>
      <c r="I226">
        <v>4.3</v>
      </c>
      <c r="J226" s="1">
        <v>7636</v>
      </c>
    </row>
    <row r="227" spans="1:10">
      <c r="A227" t="s">
        <v>489</v>
      </c>
      <c r="B227" t="s">
        <v>490</v>
      </c>
      <c r="C227" t="str">
        <f>LEFT(B227,FIND(" ",B227)-1)</f>
        <v>Remote</v>
      </c>
      <c r="D227" t="str">
        <f>TRIM(RIGHT(E227,LEN(E227)-FIND("@",SUBSTITUTE(E227,"|","@",LEN(E227)-LEN(SUBSTITUTE(E227,"|",""))))))</f>
        <v>RemoteControls</v>
      </c>
      <c r="E227" t="s">
        <v>126</v>
      </c>
      <c r="F227">
        <v>213</v>
      </c>
      <c r="G227">
        <v>499</v>
      </c>
      <c r="H227" s="6">
        <v>57</v>
      </c>
      <c r="I227">
        <v>3.7</v>
      </c>
      <c r="J227">
        <v>246</v>
      </c>
    </row>
    <row r="228" spans="1:10">
      <c r="A228" t="s">
        <v>491</v>
      </c>
      <c r="B228" t="s">
        <v>492</v>
      </c>
      <c r="C228" t="str">
        <f>LEFT(B228,FIND(" ",B228)-1)</f>
        <v>SoniVision</v>
      </c>
      <c r="D228" t="str">
        <f>TRIM(RIGHT(E228,LEN(E228)-FIND("@",SUBSTITUTE(E228,"|","@",LEN(E228)-LEN(SUBSTITUTE(E228,"|",""))))))</f>
        <v>RemoteControls</v>
      </c>
      <c r="E228" t="s">
        <v>126</v>
      </c>
      <c r="F228">
        <v>209</v>
      </c>
      <c r="G228">
        <v>499</v>
      </c>
      <c r="H228" s="6">
        <v>58</v>
      </c>
      <c r="I228">
        <v>4</v>
      </c>
      <c r="J228">
        <v>479</v>
      </c>
    </row>
    <row r="229" spans="1:10">
      <c r="A229" t="s">
        <v>493</v>
      </c>
      <c r="B229" t="s">
        <v>494</v>
      </c>
      <c r="C229" t="str">
        <f>LEFT(B229,FIND(" ",B229)-1)</f>
        <v>Rtsâ„¢</v>
      </c>
      <c r="D229" t="str">
        <f>TRIM(RIGHT(E229,LEN(E229)-FIND("@",SUBSTITUTE(E229,"|","@",LEN(E229)-LEN(SUBSTITUTE(E229,"|",""))))))</f>
        <v>HDMICables</v>
      </c>
      <c r="E229" t="s">
        <v>50</v>
      </c>
      <c r="F229">
        <v>598</v>
      </c>
      <c r="G229" s="1">
        <v>4999</v>
      </c>
      <c r="H229" s="6">
        <v>88</v>
      </c>
      <c r="I229">
        <v>4.2</v>
      </c>
      <c r="J229">
        <v>910</v>
      </c>
    </row>
    <row r="230" spans="1:10">
      <c r="A230" t="s">
        <v>495</v>
      </c>
      <c r="B230" t="s">
        <v>496</v>
      </c>
      <c r="C230" t="str">
        <f>LEFT(B230,FIND(" ",B230)-1)</f>
        <v>boAt</v>
      </c>
      <c r="D230" t="str">
        <f>TRIM(RIGHT(E230,LEN(E230)-FIND("@",SUBSTITUTE(E230,"|","@",LEN(E230)-LEN(SUBSTITUTE(E230,"|",""))))))</f>
        <v>USBCables</v>
      </c>
      <c r="E230" t="s">
        <v>23</v>
      </c>
      <c r="F230">
        <v>799</v>
      </c>
      <c r="G230" s="1">
        <v>1749</v>
      </c>
      <c r="H230" s="6">
        <v>54</v>
      </c>
      <c r="I230">
        <v>4.0999999999999996</v>
      </c>
      <c r="J230" s="1">
        <v>5626</v>
      </c>
    </row>
    <row r="231" spans="1:10">
      <c r="A231" t="s">
        <v>497</v>
      </c>
      <c r="B231" t="s">
        <v>498</v>
      </c>
      <c r="C231" t="str">
        <f>LEFT(B231,FIND(" ",B231)-1)</f>
        <v>Agaro</v>
      </c>
      <c r="D231" t="str">
        <f>TRIM(RIGHT(E231,LEN(E231)-FIND("@",SUBSTITUTE(E231,"|","@",LEN(E231)-LEN(SUBSTITUTE(E231,"|",""))))))</f>
        <v>USBCables</v>
      </c>
      <c r="E231" t="s">
        <v>23</v>
      </c>
      <c r="F231">
        <v>159</v>
      </c>
      <c r="G231">
        <v>595</v>
      </c>
      <c r="H231" s="6">
        <v>73</v>
      </c>
      <c r="I231">
        <v>4.3</v>
      </c>
      <c r="J231" s="1">
        <v>14184</v>
      </c>
    </row>
    <row r="232" spans="1:10">
      <c r="A232" t="s">
        <v>499</v>
      </c>
      <c r="B232" t="s">
        <v>500</v>
      </c>
      <c r="C232" t="str">
        <f>LEFT(B232,FIND(" ",B232)-1)</f>
        <v>AmazonBasics</v>
      </c>
      <c r="D232" t="str">
        <f>TRIM(RIGHT(E232,LEN(E232)-FIND("@",SUBSTITUTE(E232,"|","@",LEN(E232)-LEN(SUBSTITUTE(E232,"|",""))))))</f>
        <v>DVICables</v>
      </c>
      <c r="E232" t="s">
        <v>501</v>
      </c>
      <c r="F232">
        <v>499</v>
      </c>
      <c r="G232" s="1">
        <v>1100</v>
      </c>
      <c r="H232" s="6">
        <v>55</v>
      </c>
      <c r="I232">
        <v>4.4000000000000004</v>
      </c>
      <c r="J232" s="1">
        <v>25177</v>
      </c>
    </row>
    <row r="233" spans="1:10">
      <c r="A233" t="s">
        <v>502</v>
      </c>
      <c r="B233" t="s">
        <v>503</v>
      </c>
      <c r="C233" t="str">
        <f>LEFT(B233,FIND(" ",B233)-1)</f>
        <v>MI</v>
      </c>
      <c r="D233" t="str">
        <f>TRIM(RIGHT(E233,LEN(E233)-FIND("@",SUBSTITUTE(E233,"|","@",LEN(E233)-LEN(SUBSTITUTE(E233,"|",""))))))</f>
        <v>SmartTelevisions</v>
      </c>
      <c r="E233" t="s">
        <v>60</v>
      </c>
      <c r="F233" s="1">
        <v>31999</v>
      </c>
      <c r="G233" s="1">
        <v>49999</v>
      </c>
      <c r="H233" s="6">
        <v>36</v>
      </c>
      <c r="I233">
        <v>4.3</v>
      </c>
      <c r="J233" s="1">
        <v>21252</v>
      </c>
    </row>
    <row r="234" spans="1:10">
      <c r="A234" t="s">
        <v>504</v>
      </c>
      <c r="B234" t="s">
        <v>505</v>
      </c>
      <c r="C234" t="str">
        <f>LEFT(B234,FIND(" ",B234)-1)</f>
        <v>Sansui</v>
      </c>
      <c r="D234" t="str">
        <f>TRIM(RIGHT(E234,LEN(E234)-FIND("@",SUBSTITUTE(E234,"|","@",LEN(E234)-LEN(SUBSTITUTE(E234,"|",""))))))</f>
        <v>SmartTelevisions</v>
      </c>
      <c r="E234" t="s">
        <v>60</v>
      </c>
      <c r="F234" s="1">
        <v>32990</v>
      </c>
      <c r="G234" s="1">
        <v>56790</v>
      </c>
      <c r="H234" s="6">
        <v>42</v>
      </c>
      <c r="I234">
        <v>4.3</v>
      </c>
      <c r="J234">
        <v>567</v>
      </c>
    </row>
    <row r="235" spans="1:10">
      <c r="A235" t="s">
        <v>506</v>
      </c>
      <c r="B235" t="s">
        <v>507</v>
      </c>
      <c r="C235" t="str">
        <f>LEFT(B235,FIND(" ",B235)-1)</f>
        <v>LOHAYA</v>
      </c>
      <c r="D235" t="str">
        <f>TRIM(RIGHT(E235,LEN(E235)-FIND("@",SUBSTITUTE(E235,"|","@",LEN(E235)-LEN(SUBSTITUTE(E235,"|",""))))))</f>
        <v>RemoteControls</v>
      </c>
      <c r="E235" t="s">
        <v>126</v>
      </c>
      <c r="F235">
        <v>299</v>
      </c>
      <c r="G235" s="1">
        <v>1199</v>
      </c>
      <c r="H235" s="6">
        <v>75</v>
      </c>
      <c r="I235">
        <v>3.5</v>
      </c>
      <c r="J235">
        <v>466</v>
      </c>
    </row>
    <row r="236" spans="1:10">
      <c r="A236" t="s">
        <v>508</v>
      </c>
      <c r="B236" t="s">
        <v>509</v>
      </c>
      <c r="C236" t="str">
        <f>LEFT(B236,FIND(" ",B236)-1)</f>
        <v>Zebronics</v>
      </c>
      <c r="D236" t="str">
        <f>TRIM(RIGHT(E236,LEN(E236)-FIND("@",SUBSTITUTE(E236,"|","@",LEN(E236)-LEN(SUBSTITUTE(E236,"|",""))))))</f>
        <v>USBCables</v>
      </c>
      <c r="E236" t="s">
        <v>23</v>
      </c>
      <c r="F236">
        <v>128.31</v>
      </c>
      <c r="G236">
        <v>549</v>
      </c>
      <c r="H236" s="6">
        <v>77</v>
      </c>
      <c r="I236">
        <v>3.9</v>
      </c>
      <c r="J236">
        <v>61</v>
      </c>
    </row>
    <row r="237" spans="1:10">
      <c r="A237" t="s">
        <v>510</v>
      </c>
      <c r="B237" t="s">
        <v>511</v>
      </c>
      <c r="C237" t="str">
        <f>LEFT(B237,FIND(" ",B237)-1)</f>
        <v>Belkin</v>
      </c>
      <c r="D237" t="str">
        <f>TRIM(RIGHT(E237,LEN(E237)-FIND("@",SUBSTITUTE(E237,"|","@",LEN(E237)-LEN(SUBSTITUTE(E237,"|",""))))))</f>
        <v>USBCables</v>
      </c>
      <c r="E237" t="s">
        <v>23</v>
      </c>
      <c r="F237">
        <v>599</v>
      </c>
      <c r="G237">
        <v>849</v>
      </c>
      <c r="H237" s="6">
        <v>29</v>
      </c>
      <c r="I237">
        <v>4.5</v>
      </c>
      <c r="J237">
        <v>474</v>
      </c>
    </row>
    <row r="238" spans="1:10">
      <c r="A238" t="s">
        <v>512</v>
      </c>
      <c r="B238" t="s">
        <v>513</v>
      </c>
      <c r="C238" t="str">
        <f>LEFT(B238,FIND(" ",B238)-1)</f>
        <v>7SEVENÂ®</v>
      </c>
      <c r="D238" t="str">
        <f>TRIM(RIGHT(E238,LEN(E238)-FIND("@",SUBSTITUTE(E238,"|","@",LEN(E238)-LEN(SUBSTITUTE(E238,"|",""))))))</f>
        <v>RemoteControls</v>
      </c>
      <c r="E238" t="s">
        <v>126</v>
      </c>
      <c r="F238">
        <v>399</v>
      </c>
      <c r="G238">
        <v>899</v>
      </c>
      <c r="H238" s="6">
        <v>56</v>
      </c>
      <c r="I238">
        <v>3.4</v>
      </c>
      <c r="J238">
        <v>431</v>
      </c>
    </row>
    <row r="239" spans="1:10">
      <c r="A239" t="s">
        <v>514</v>
      </c>
      <c r="B239" t="s">
        <v>515</v>
      </c>
      <c r="C239" t="str">
        <f>LEFT(B239,FIND(" ",B239)-1)</f>
        <v>Wayona</v>
      </c>
      <c r="D239" t="str">
        <f>TRIM(RIGHT(E239,LEN(E239)-FIND("@",SUBSTITUTE(E239,"|","@",LEN(E239)-LEN(SUBSTITUTE(E239,"|",""))))))</f>
        <v>USBCables</v>
      </c>
      <c r="E239" t="s">
        <v>23</v>
      </c>
      <c r="F239">
        <v>449</v>
      </c>
      <c r="G239" s="1">
        <v>1099</v>
      </c>
      <c r="H239" s="6">
        <v>59</v>
      </c>
      <c r="I239">
        <v>4</v>
      </c>
      <c r="J239">
        <v>242</v>
      </c>
    </row>
    <row r="240" spans="1:10">
      <c r="A240" t="s">
        <v>516</v>
      </c>
      <c r="B240" t="s">
        <v>517</v>
      </c>
      <c r="C240" t="str">
        <f>LEFT(B240,FIND(" ",B240)-1)</f>
        <v>Hi-Mobiler</v>
      </c>
      <c r="D240" t="str">
        <f>TRIM(RIGHT(E240,LEN(E240)-FIND("@",SUBSTITUTE(E240,"|","@",LEN(E240)-LEN(SUBSTITUTE(E240,"|",""))))))</f>
        <v>USBCables</v>
      </c>
      <c r="E240" t="s">
        <v>23</v>
      </c>
      <c r="F240">
        <v>254</v>
      </c>
      <c r="G240">
        <v>799</v>
      </c>
      <c r="H240" s="6">
        <v>68</v>
      </c>
      <c r="I240">
        <v>4</v>
      </c>
      <c r="J240" s="1">
        <v>2905</v>
      </c>
    </row>
    <row r="241" spans="1:10">
      <c r="A241" t="s">
        <v>518</v>
      </c>
      <c r="B241" t="s">
        <v>519</v>
      </c>
      <c r="C241" t="str">
        <f>LEFT(B241,FIND(" ",B241)-1)</f>
        <v>Amazon</v>
      </c>
      <c r="D241" t="str">
        <f>TRIM(RIGHT(E241,LEN(E241)-FIND("@",SUBSTITUTE(E241,"|","@",LEN(E241)-LEN(SUBSTITUTE(E241,"|",""))))))</f>
        <v>SpeakerCables</v>
      </c>
      <c r="E241" t="s">
        <v>520</v>
      </c>
      <c r="F241">
        <v>399</v>
      </c>
      <c r="G241">
        <v>795</v>
      </c>
      <c r="H241" s="6">
        <v>5</v>
      </c>
      <c r="I241">
        <v>4.4000000000000004</v>
      </c>
      <c r="J241" s="1">
        <v>12091</v>
      </c>
    </row>
    <row r="242" spans="1:10">
      <c r="A242" t="s">
        <v>521</v>
      </c>
      <c r="B242" t="s">
        <v>522</v>
      </c>
      <c r="C242" t="str">
        <f>LEFT(B242,FIND(" ",B242)-1)</f>
        <v>Ambrane</v>
      </c>
      <c r="D242" t="str">
        <f>TRIM(RIGHT(E242,LEN(E242)-FIND("@",SUBSTITUTE(E242,"|","@",LEN(E242)-LEN(SUBSTITUTE(E242,"|",""))))))</f>
        <v>USBCables</v>
      </c>
      <c r="E242" t="s">
        <v>23</v>
      </c>
      <c r="F242">
        <v>179</v>
      </c>
      <c r="G242">
        <v>399</v>
      </c>
      <c r="H242" s="6">
        <v>55</v>
      </c>
      <c r="I242">
        <v>4</v>
      </c>
      <c r="J242" s="1">
        <v>1423</v>
      </c>
    </row>
    <row r="243" spans="1:10">
      <c r="A243" t="s">
        <v>523</v>
      </c>
      <c r="B243" t="s">
        <v>524</v>
      </c>
      <c r="C243" t="str">
        <f>LEFT(B243,FIND(" ",B243)-1)</f>
        <v>Wayona</v>
      </c>
      <c r="D243" t="str">
        <f>TRIM(RIGHT(E243,LEN(E243)-FIND("@",SUBSTITUTE(E243,"|","@",LEN(E243)-LEN(SUBSTITUTE(E243,"|",""))))))</f>
        <v>USBCables</v>
      </c>
      <c r="E243" t="s">
        <v>23</v>
      </c>
      <c r="F243">
        <v>339</v>
      </c>
      <c r="G243">
        <v>999</v>
      </c>
      <c r="H243" s="6">
        <v>66</v>
      </c>
      <c r="I243">
        <v>4.3</v>
      </c>
      <c r="J243" s="1">
        <v>6255</v>
      </c>
    </row>
    <row r="244" spans="1:10">
      <c r="A244" t="s">
        <v>525</v>
      </c>
      <c r="B244" t="s">
        <v>526</v>
      </c>
      <c r="C244" t="str">
        <f>LEFT(B244,FIND(" ",B244)-1)</f>
        <v>Caprigo</v>
      </c>
      <c r="D244" t="str">
        <f>TRIM(RIGHT(E244,LEN(E244)-FIND("@",SUBSTITUTE(E244,"|","@",LEN(E244)-LEN(SUBSTITUTE(E244,"|",""))))))</f>
        <v>TVWall&amp;CeilingMounts</v>
      </c>
      <c r="E244" t="s">
        <v>168</v>
      </c>
      <c r="F244">
        <v>399</v>
      </c>
      <c r="G244">
        <v>999</v>
      </c>
      <c r="H244" s="6">
        <v>6</v>
      </c>
      <c r="I244">
        <v>4</v>
      </c>
      <c r="J244" s="1">
        <v>1236</v>
      </c>
    </row>
    <row r="245" spans="1:10">
      <c r="A245" t="s">
        <v>527</v>
      </c>
      <c r="B245" t="s">
        <v>528</v>
      </c>
      <c r="C245" t="str">
        <f>LEFT(B245,FIND(" ",B245)-1)</f>
        <v>SmashtronicsÂ®</v>
      </c>
      <c r="D245" t="str">
        <f>TRIM(RIGHT(E245,LEN(E245)-FIND("@",SUBSTITUTE(E245,"|","@",LEN(E245)-LEN(SUBSTITUTE(E245,"|",""))))))</f>
        <v>RemoteControls</v>
      </c>
      <c r="E245" t="s">
        <v>126</v>
      </c>
      <c r="F245">
        <v>199</v>
      </c>
      <c r="G245">
        <v>399</v>
      </c>
      <c r="H245" s="6">
        <v>5</v>
      </c>
      <c r="I245">
        <v>4.2</v>
      </c>
      <c r="J245" s="1">
        <v>1335</v>
      </c>
    </row>
    <row r="246" spans="1:10">
      <c r="A246" t="s">
        <v>529</v>
      </c>
      <c r="B246" t="s">
        <v>530</v>
      </c>
      <c r="C246" t="str">
        <f>LEFT(B246,FIND(" ",B246)-1)</f>
        <v>Electvision</v>
      </c>
      <c r="D246" t="str">
        <f>TRIM(RIGHT(E246,LEN(E246)-FIND("@",SUBSTITUTE(E246,"|","@",LEN(E246)-LEN(SUBSTITUTE(E246,"|",""))))))</f>
        <v>RemoteControls</v>
      </c>
      <c r="E246" t="s">
        <v>126</v>
      </c>
      <c r="F246">
        <v>349</v>
      </c>
      <c r="G246" s="1">
        <v>1999</v>
      </c>
      <c r="H246" s="6">
        <v>83</v>
      </c>
      <c r="I246">
        <v>3.8</v>
      </c>
      <c r="J246">
        <v>197</v>
      </c>
    </row>
    <row r="247" spans="1:10">
      <c r="A247" t="s">
        <v>531</v>
      </c>
      <c r="B247" t="s">
        <v>532</v>
      </c>
      <c r="C247" t="str">
        <f>LEFT(B247,FIND(" ",B247)-1)</f>
        <v>Boat</v>
      </c>
      <c r="D247" t="str">
        <f>TRIM(RIGHT(E247,LEN(E247)-FIND("@",SUBSTITUTE(E247,"|","@",LEN(E247)-LEN(SUBSTITUTE(E247,"|",""))))))</f>
        <v>USBCables</v>
      </c>
      <c r="E247" t="s">
        <v>23</v>
      </c>
      <c r="F247">
        <v>299</v>
      </c>
      <c r="G247">
        <v>798</v>
      </c>
      <c r="H247" s="6">
        <v>63</v>
      </c>
      <c r="I247">
        <v>4.4000000000000004</v>
      </c>
      <c r="J247" s="1">
        <v>28791</v>
      </c>
    </row>
    <row r="248" spans="1:10">
      <c r="A248" t="s">
        <v>533</v>
      </c>
      <c r="B248" t="s">
        <v>534</v>
      </c>
      <c r="C248" t="str">
        <f>LEFT(B248,FIND(" ",B248)-1)</f>
        <v>pTron</v>
      </c>
      <c r="D248" t="str">
        <f>TRIM(RIGHT(E248,LEN(E248)-FIND("@",SUBSTITUTE(E248,"|","@",LEN(E248)-LEN(SUBSTITUTE(E248,"|",""))))))</f>
        <v>USBCables</v>
      </c>
      <c r="E248" t="s">
        <v>23</v>
      </c>
      <c r="F248">
        <v>89</v>
      </c>
      <c r="G248">
        <v>800</v>
      </c>
      <c r="H248" s="6">
        <v>89</v>
      </c>
      <c r="I248">
        <v>3.9</v>
      </c>
      <c r="J248" s="1">
        <v>1075</v>
      </c>
    </row>
    <row r="249" spans="1:10">
      <c r="A249" t="s">
        <v>535</v>
      </c>
      <c r="B249" t="s">
        <v>536</v>
      </c>
      <c r="C249" t="str">
        <f>LEFT(B249,FIND(" ",B249)-1)</f>
        <v>AmazonBasics</v>
      </c>
      <c r="D249" t="str">
        <f>TRIM(RIGHT(E249,LEN(E249)-FIND("@",SUBSTITUTE(E249,"|","@",LEN(E249)-LEN(SUBSTITUTE(E249,"|",""))))))</f>
        <v>USBCables</v>
      </c>
      <c r="E249" t="s">
        <v>23</v>
      </c>
      <c r="F249">
        <v>549</v>
      </c>
      <c r="G249">
        <v>995</v>
      </c>
      <c r="H249" s="6">
        <v>45</v>
      </c>
      <c r="I249">
        <v>4.2</v>
      </c>
      <c r="J249" s="1">
        <v>29746</v>
      </c>
    </row>
    <row r="250" spans="1:10">
      <c r="A250" t="s">
        <v>537</v>
      </c>
      <c r="B250" t="s">
        <v>538</v>
      </c>
      <c r="C250" t="str">
        <f>LEFT(B250,FIND(" ",B250)-1)</f>
        <v>Croma</v>
      </c>
      <c r="D250" t="str">
        <f>TRIM(RIGHT(E250,LEN(E250)-FIND("@",SUBSTITUTE(E250,"|","@",LEN(E250)-LEN(SUBSTITUTE(E250,"|",""))))))</f>
        <v>USBCables</v>
      </c>
      <c r="E250" t="s">
        <v>23</v>
      </c>
      <c r="F250">
        <v>129</v>
      </c>
      <c r="G250" s="1">
        <v>1000</v>
      </c>
      <c r="H250" s="6">
        <v>87</v>
      </c>
      <c r="I250">
        <v>3.9</v>
      </c>
      <c r="J250">
        <v>295</v>
      </c>
    </row>
    <row r="251" spans="1:10">
      <c r="A251" t="s">
        <v>539</v>
      </c>
      <c r="B251" t="s">
        <v>540</v>
      </c>
      <c r="C251" t="str">
        <f>LEFT(B251,FIND(" ",B251)-1)</f>
        <v>Sony</v>
      </c>
      <c r="D251" t="str">
        <f>TRIM(RIGHT(E251,LEN(E251)-FIND("@",SUBSTITUTE(E251,"|","@",LEN(E251)-LEN(SUBSTITUTE(E251,"|",""))))))</f>
        <v>SmartTelevisions</v>
      </c>
      <c r="E251" t="s">
        <v>60</v>
      </c>
      <c r="F251" s="1">
        <v>77990</v>
      </c>
      <c r="G251" t="s">
        <v>541</v>
      </c>
      <c r="H251" s="6">
        <v>44</v>
      </c>
      <c r="I251">
        <v>4.7</v>
      </c>
      <c r="J251" s="1">
        <v>5935</v>
      </c>
    </row>
    <row r="252" spans="1:10">
      <c r="A252" t="s">
        <v>542</v>
      </c>
      <c r="B252" t="s">
        <v>543</v>
      </c>
      <c r="C252" t="str">
        <f>LEFT(B252,FIND(" ",B252)-1)</f>
        <v>7SEVENÂ®</v>
      </c>
      <c r="D252" t="str">
        <f>TRIM(RIGHT(E252,LEN(E252)-FIND("@",SUBSTITUTE(E252,"|","@",LEN(E252)-LEN(SUBSTITUTE(E252,"|",""))))))</f>
        <v>RemoteControls</v>
      </c>
      <c r="E252" t="s">
        <v>126</v>
      </c>
      <c r="F252">
        <v>349</v>
      </c>
      <c r="G252">
        <v>799</v>
      </c>
      <c r="H252" s="6">
        <v>56</v>
      </c>
      <c r="I252">
        <v>3.6</v>
      </c>
      <c r="J252">
        <v>323</v>
      </c>
    </row>
    <row r="253" spans="1:10">
      <c r="A253" t="s">
        <v>544</v>
      </c>
      <c r="B253" t="s">
        <v>545</v>
      </c>
      <c r="C253" t="str">
        <f>LEFT(B253,FIND(" ",B253)-1)</f>
        <v>7SEVENÂ®</v>
      </c>
      <c r="D253" t="str">
        <f>TRIM(RIGHT(E253,LEN(E253)-FIND("@",SUBSTITUTE(E253,"|","@",LEN(E253)-LEN(SUBSTITUTE(E253,"|",""))))))</f>
        <v>RemoteControls</v>
      </c>
      <c r="E253" t="s">
        <v>126</v>
      </c>
      <c r="F253">
        <v>499</v>
      </c>
      <c r="G253">
        <v>899</v>
      </c>
      <c r="H253" s="6">
        <v>44</v>
      </c>
      <c r="I253">
        <v>3.7</v>
      </c>
      <c r="J253">
        <v>185</v>
      </c>
    </row>
    <row r="254" spans="1:10">
      <c r="A254" t="s">
        <v>546</v>
      </c>
      <c r="B254" t="s">
        <v>547</v>
      </c>
      <c r="C254" t="str">
        <f>LEFT(B254,FIND(" ",B254)-1)</f>
        <v>Storite</v>
      </c>
      <c r="D254" t="str">
        <f>TRIM(RIGHT(E254,LEN(E254)-FIND("@",SUBSTITUTE(E254,"|","@",LEN(E254)-LEN(SUBSTITUTE(E254,"|",""))))))</f>
        <v>USBCables</v>
      </c>
      <c r="E254" t="s">
        <v>23</v>
      </c>
      <c r="F254">
        <v>299</v>
      </c>
      <c r="G254">
        <v>799</v>
      </c>
      <c r="H254" s="6">
        <v>63</v>
      </c>
      <c r="I254">
        <v>4.2</v>
      </c>
      <c r="J254" s="1">
        <v>2117</v>
      </c>
    </row>
    <row r="255" spans="1:10">
      <c r="A255" t="s">
        <v>548</v>
      </c>
      <c r="B255" t="s">
        <v>549</v>
      </c>
      <c r="C255" t="str">
        <f>LEFT(B255,FIND(" ",B255)-1)</f>
        <v>FLiX</v>
      </c>
      <c r="D255" t="str">
        <f>TRIM(RIGHT(E255,LEN(E255)-FIND("@",SUBSTITUTE(E255,"|","@",LEN(E255)-LEN(SUBSTITUTE(E255,"|",""))))))</f>
        <v>USBCables</v>
      </c>
      <c r="E255" t="s">
        <v>23</v>
      </c>
      <c r="F255">
        <v>182</v>
      </c>
      <c r="G255">
        <v>599</v>
      </c>
      <c r="H255" s="6">
        <v>7</v>
      </c>
      <c r="I255">
        <v>4</v>
      </c>
      <c r="J255" s="1">
        <v>9378</v>
      </c>
    </row>
    <row r="256" spans="1:10">
      <c r="A256" t="s">
        <v>550</v>
      </c>
      <c r="B256" t="s">
        <v>551</v>
      </c>
      <c r="C256" t="str">
        <f>LEFT(B256,FIND(" ",B256)-1)</f>
        <v>SVM</v>
      </c>
      <c r="D256" t="str">
        <f>TRIM(RIGHT(E256,LEN(E256)-FIND("@",SUBSTITUTE(E256,"|","@",LEN(E256)-LEN(SUBSTITUTE(E256,"|",""))))))</f>
        <v>TVWall&amp;CeilingMounts</v>
      </c>
      <c r="E256" t="s">
        <v>168</v>
      </c>
      <c r="F256">
        <v>96</v>
      </c>
      <c r="G256">
        <v>399</v>
      </c>
      <c r="H256" s="6">
        <v>76</v>
      </c>
      <c r="I256">
        <v>3.6</v>
      </c>
      <c r="J256" s="1">
        <v>1796</v>
      </c>
    </row>
    <row r="257" spans="1:10">
      <c r="A257" t="s">
        <v>552</v>
      </c>
      <c r="B257" t="s">
        <v>553</v>
      </c>
      <c r="C257" t="str">
        <f>LEFT(B257,FIND(" ",B257)-1)</f>
        <v>VU</v>
      </c>
      <c r="D257" t="str">
        <f>TRIM(RIGHT(E257,LEN(E257)-FIND("@",SUBSTITUTE(E257,"|","@",LEN(E257)-LEN(SUBSTITUTE(E257,"|",""))))))</f>
        <v>SmartTelevisions</v>
      </c>
      <c r="E257" t="s">
        <v>60</v>
      </c>
      <c r="F257" s="1">
        <v>54990</v>
      </c>
      <c r="G257" s="1">
        <v>85000</v>
      </c>
      <c r="H257" s="6">
        <v>35</v>
      </c>
      <c r="I257">
        <v>4.3</v>
      </c>
      <c r="J257" s="1">
        <v>3587</v>
      </c>
    </row>
    <row r="258" spans="1:10">
      <c r="A258" t="s">
        <v>554</v>
      </c>
      <c r="B258" t="s">
        <v>555</v>
      </c>
      <c r="C258" t="str">
        <f>LEFT(B258,FIND(" ",B258)-1)</f>
        <v>CableCreation</v>
      </c>
      <c r="D258" t="str">
        <f>TRIM(RIGHT(E258,LEN(E258)-FIND("@",SUBSTITUTE(E258,"|","@",LEN(E258)-LEN(SUBSTITUTE(E258,"|",""))))))</f>
        <v>RCACables</v>
      </c>
      <c r="E258" t="s">
        <v>291</v>
      </c>
      <c r="F258">
        <v>439</v>
      </c>
      <c r="G258">
        <v>758</v>
      </c>
      <c r="H258" s="6">
        <v>42</v>
      </c>
      <c r="I258">
        <v>4.2</v>
      </c>
      <c r="J258" s="1">
        <v>4296</v>
      </c>
    </row>
    <row r="259" spans="1:10">
      <c r="A259" t="s">
        <v>556</v>
      </c>
      <c r="B259" t="s">
        <v>557</v>
      </c>
      <c r="C259" t="str">
        <f>LEFT(B259,FIND(" ",B259)-1)</f>
        <v>Wayona</v>
      </c>
      <c r="D259" t="str">
        <f>TRIM(RIGHT(E259,LEN(E259)-FIND("@",SUBSTITUTE(E259,"|","@",LEN(E259)-LEN(SUBSTITUTE(E259,"|",""))))))</f>
        <v>USBCables</v>
      </c>
      <c r="E259" t="s">
        <v>23</v>
      </c>
      <c r="F259">
        <v>299</v>
      </c>
      <c r="G259">
        <v>999</v>
      </c>
      <c r="H259" s="6">
        <v>7</v>
      </c>
      <c r="I259">
        <v>4.3</v>
      </c>
      <c r="J259" s="1">
        <v>2651</v>
      </c>
    </row>
    <row r="260" spans="1:10">
      <c r="A260" t="s">
        <v>558</v>
      </c>
      <c r="B260" t="s">
        <v>559</v>
      </c>
      <c r="C260" t="str">
        <f>LEFT(B260,FIND(" ",B260)-1)</f>
        <v>boAt</v>
      </c>
      <c r="D260" t="str">
        <f>TRIM(RIGHT(E260,LEN(E260)-FIND("@",SUBSTITUTE(E260,"|","@",LEN(E260)-LEN(SUBSTITUTE(E260,"|",""))))))</f>
        <v>USBCables</v>
      </c>
      <c r="E260" t="s">
        <v>23</v>
      </c>
      <c r="F260">
        <v>299</v>
      </c>
      <c r="G260">
        <v>799</v>
      </c>
      <c r="H260" s="6">
        <v>63</v>
      </c>
      <c r="I260">
        <v>4.2</v>
      </c>
      <c r="J260" s="1">
        <v>94363</v>
      </c>
    </row>
    <row r="261" spans="1:10">
      <c r="A261" t="s">
        <v>560</v>
      </c>
      <c r="B261" t="s">
        <v>561</v>
      </c>
      <c r="C261" t="str">
        <f>LEFT(B261,FIND(" ",B261)-1)</f>
        <v>Amazon</v>
      </c>
      <c r="D261" t="str">
        <f>TRIM(RIGHT(E261,LEN(E261)-FIND("@",SUBSTITUTE(E261,"|","@",LEN(E261)-LEN(SUBSTITUTE(E261,"|",""))))))</f>
        <v>USBCables</v>
      </c>
      <c r="E261" t="s">
        <v>23</v>
      </c>
      <c r="F261">
        <v>789</v>
      </c>
      <c r="G261" s="1">
        <v>1999</v>
      </c>
      <c r="H261" s="6">
        <v>61</v>
      </c>
      <c r="I261">
        <v>4.2</v>
      </c>
      <c r="J261" s="1">
        <v>34540</v>
      </c>
    </row>
    <row r="262" spans="1:10">
      <c r="A262" t="s">
        <v>562</v>
      </c>
      <c r="B262" t="s">
        <v>563</v>
      </c>
      <c r="C262" t="str">
        <f>LEFT(B262,FIND(" ",B262)-1)</f>
        <v>AmazonBasics</v>
      </c>
      <c r="D262" t="str">
        <f>TRIM(RIGHT(E262,LEN(E262)-FIND("@",SUBSTITUTE(E262,"|","@",LEN(E262)-LEN(SUBSTITUTE(E262,"|",""))))))</f>
        <v>HDMICables</v>
      </c>
      <c r="E262" t="s">
        <v>50</v>
      </c>
      <c r="F262">
        <v>299</v>
      </c>
      <c r="G262">
        <v>700</v>
      </c>
      <c r="H262" s="6">
        <v>57</v>
      </c>
      <c r="I262">
        <v>4.4000000000000004</v>
      </c>
      <c r="J262" s="1">
        <v>8714</v>
      </c>
    </row>
    <row r="263" spans="1:10">
      <c r="A263" t="s">
        <v>564</v>
      </c>
      <c r="B263" t="s">
        <v>565</v>
      </c>
      <c r="C263" t="str">
        <f>LEFT(B263,FIND(" ",B263)-1)</f>
        <v>Wayona</v>
      </c>
      <c r="D263" t="str">
        <f>TRIM(RIGHT(E263,LEN(E263)-FIND("@",SUBSTITUTE(E263,"|","@",LEN(E263)-LEN(SUBSTITUTE(E263,"|",""))))))</f>
        <v>USBCables</v>
      </c>
      <c r="E263" t="s">
        <v>23</v>
      </c>
      <c r="F263">
        <v>325</v>
      </c>
      <c r="G263" s="1">
        <v>1099</v>
      </c>
      <c r="H263" s="6">
        <v>7</v>
      </c>
      <c r="I263">
        <v>4.2</v>
      </c>
      <c r="J263" s="1">
        <v>10576</v>
      </c>
    </row>
    <row r="264" spans="1:10">
      <c r="A264" t="s">
        <v>566</v>
      </c>
      <c r="B264" t="s">
        <v>567</v>
      </c>
      <c r="C264" t="str">
        <f>LEFT(B264,FIND(" ",B264)-1)</f>
        <v>Belkin</v>
      </c>
      <c r="D264" t="str">
        <f>TRIM(RIGHT(E264,LEN(E264)-FIND("@",SUBSTITUTE(E264,"|","@",LEN(E264)-LEN(SUBSTITUTE(E264,"|",""))))))</f>
        <v>USBCables</v>
      </c>
      <c r="E264" t="s">
        <v>23</v>
      </c>
      <c r="F264" s="1">
        <v>1299</v>
      </c>
      <c r="G264" s="1">
        <v>1999</v>
      </c>
      <c r="H264" s="6">
        <v>35</v>
      </c>
      <c r="I264">
        <v>4.4000000000000004</v>
      </c>
      <c r="J264" s="1">
        <v>7318</v>
      </c>
    </row>
    <row r="265" spans="1:10">
      <c r="A265" t="s">
        <v>568</v>
      </c>
      <c r="B265" t="s">
        <v>569</v>
      </c>
      <c r="C265" t="str">
        <f>LEFT(B265,FIND(" ",B265)-1)</f>
        <v>7SEVEN</v>
      </c>
      <c r="D265" t="str">
        <f>TRIM(RIGHT(E265,LEN(E265)-FIND("@",SUBSTITUTE(E265,"|","@",LEN(E265)-LEN(SUBSTITUTE(E265,"|",""))))))</f>
        <v>RemoteControls</v>
      </c>
      <c r="E265" t="s">
        <v>126</v>
      </c>
      <c r="F265">
        <v>790</v>
      </c>
      <c r="G265" s="1">
        <v>1999</v>
      </c>
      <c r="H265" s="6">
        <v>6</v>
      </c>
      <c r="I265">
        <v>3</v>
      </c>
      <c r="J265">
        <v>103</v>
      </c>
    </row>
    <row r="266" spans="1:10">
      <c r="A266" t="s">
        <v>570</v>
      </c>
      <c r="B266" t="s">
        <v>571</v>
      </c>
      <c r="C266" t="str">
        <f>LEFT(B266,FIND(" ",B266)-1)</f>
        <v>Realme</v>
      </c>
      <c r="D266" t="str">
        <f>TRIM(RIGHT(E266,LEN(E266)-FIND("@",SUBSTITUTE(E266,"|","@",LEN(E266)-LEN(SUBSTITUTE(E266,"|",""))))))</f>
        <v>StreamingClients</v>
      </c>
      <c r="E266" t="s">
        <v>572</v>
      </c>
      <c r="F266" s="1">
        <v>4699</v>
      </c>
      <c r="G266" s="1">
        <v>4699</v>
      </c>
      <c r="H266" s="6">
        <v>0</v>
      </c>
      <c r="I266">
        <v>4.5</v>
      </c>
      <c r="J266">
        <v>224</v>
      </c>
    </row>
    <row r="267" spans="1:10">
      <c r="A267" t="s">
        <v>573</v>
      </c>
      <c r="B267" t="s">
        <v>574</v>
      </c>
      <c r="C267" t="str">
        <f>LEFT(B267,FIND(" ",B267)-1)</f>
        <v>Acer</v>
      </c>
      <c r="D267" t="str">
        <f>TRIM(RIGHT(E267,LEN(E267)-FIND("@",SUBSTITUTE(E267,"|","@",LEN(E267)-LEN(SUBSTITUTE(E267,"|",""))))))</f>
        <v>SmartTelevisions</v>
      </c>
      <c r="E267" t="s">
        <v>60</v>
      </c>
      <c r="F267" s="1">
        <v>18999</v>
      </c>
      <c r="G267" s="1">
        <v>24990</v>
      </c>
      <c r="H267" s="6">
        <v>24</v>
      </c>
      <c r="I267">
        <v>4.3</v>
      </c>
      <c r="J267" s="1">
        <v>4702</v>
      </c>
    </row>
    <row r="268" spans="1:10">
      <c r="A268" t="s">
        <v>575</v>
      </c>
      <c r="B268" t="s">
        <v>576</v>
      </c>
      <c r="C268" t="str">
        <f>LEFT(B268,FIND(" ",B268)-1)</f>
        <v>Lapster</v>
      </c>
      <c r="D268" t="str">
        <f>TRIM(RIGHT(E268,LEN(E268)-FIND("@",SUBSTITUTE(E268,"|","@",LEN(E268)-LEN(SUBSTITUTE(E268,"|",""))))))</f>
        <v>USBCables</v>
      </c>
      <c r="E268" t="s">
        <v>23</v>
      </c>
      <c r="F268">
        <v>199</v>
      </c>
      <c r="G268">
        <v>999</v>
      </c>
      <c r="H268" s="6">
        <v>8</v>
      </c>
      <c r="I268">
        <v>4.2</v>
      </c>
      <c r="J268">
        <v>85</v>
      </c>
    </row>
    <row r="269" spans="1:10">
      <c r="A269" t="s">
        <v>577</v>
      </c>
      <c r="B269" t="s">
        <v>578</v>
      </c>
      <c r="C269" t="str">
        <f>LEFT(B269,FIND(" ",B269)-1)</f>
        <v>AmazonBasics</v>
      </c>
      <c r="D269" t="str">
        <f>TRIM(RIGHT(E269,LEN(E269)-FIND("@",SUBSTITUTE(E269,"|","@",LEN(E269)-LEN(SUBSTITUTE(E269,"|",""))))))</f>
        <v>HDMICables</v>
      </c>
      <c r="E269" t="s">
        <v>50</v>
      </c>
      <c r="F269">
        <v>269</v>
      </c>
      <c r="G269">
        <v>650</v>
      </c>
      <c r="H269" s="6">
        <v>59</v>
      </c>
      <c r="I269">
        <v>4.4000000000000004</v>
      </c>
      <c r="J269" s="1">
        <v>35877</v>
      </c>
    </row>
    <row r="270" spans="1:10">
      <c r="A270" t="s">
        <v>579</v>
      </c>
      <c r="B270" t="s">
        <v>580</v>
      </c>
      <c r="C270" t="str">
        <f>LEFT(B270,FIND(" ",B270)-1)</f>
        <v>Cubetek</v>
      </c>
      <c r="D270" t="str">
        <f>TRIM(RIGHT(E270,LEN(E270)-FIND("@",SUBSTITUTE(E270,"|","@",LEN(E270)-LEN(SUBSTITUTE(E270,"|",""))))))</f>
        <v>AVReceivers&amp;Amplifiers</v>
      </c>
      <c r="E270" t="s">
        <v>581</v>
      </c>
      <c r="F270" s="1">
        <v>1990</v>
      </c>
      <c r="G270" s="1">
        <v>3100</v>
      </c>
      <c r="H270" s="6">
        <v>36</v>
      </c>
      <c r="I270">
        <v>4</v>
      </c>
      <c r="J270">
        <v>897</v>
      </c>
    </row>
    <row r="271" spans="1:10">
      <c r="A271" t="s">
        <v>582</v>
      </c>
      <c r="B271" t="s">
        <v>583</v>
      </c>
      <c r="C271" t="str">
        <f>LEFT(B271,FIND(" ",B271)-1)</f>
        <v>KRISONS</v>
      </c>
      <c r="D271" t="str">
        <f>TRIM(RIGHT(E271,LEN(E271)-FIND("@",SUBSTITUTE(E271,"|","@",LEN(E271)-LEN(SUBSTITUTE(E271,"|",""))))))</f>
        <v>TowerSpeakers</v>
      </c>
      <c r="E271" t="s">
        <v>584</v>
      </c>
      <c r="F271" s="1">
        <v>2299</v>
      </c>
      <c r="G271" s="1">
        <v>3999</v>
      </c>
      <c r="H271" s="6">
        <v>43</v>
      </c>
      <c r="I271">
        <v>3.8</v>
      </c>
      <c r="J271">
        <v>282</v>
      </c>
    </row>
    <row r="272" spans="1:10">
      <c r="A272" t="s">
        <v>585</v>
      </c>
      <c r="B272" t="s">
        <v>586</v>
      </c>
      <c r="C272" t="str">
        <f>LEFT(B272,FIND(" ",B272)-1)</f>
        <v>Acer</v>
      </c>
      <c r="D272" t="str">
        <f>TRIM(RIGHT(E272,LEN(E272)-FIND("@",SUBSTITUTE(E272,"|","@",LEN(E272)-LEN(SUBSTITUTE(E272,"|",""))))))</f>
        <v>SmartTelevisions</v>
      </c>
      <c r="E272" t="s">
        <v>60</v>
      </c>
      <c r="F272" s="1">
        <v>35999</v>
      </c>
      <c r="G272" s="1">
        <v>49990</v>
      </c>
      <c r="H272" s="6">
        <v>28</v>
      </c>
      <c r="I272">
        <v>4.3</v>
      </c>
      <c r="J272" s="1">
        <v>1611</v>
      </c>
    </row>
    <row r="273" spans="1:10">
      <c r="A273" t="s">
        <v>587</v>
      </c>
      <c r="B273" t="s">
        <v>588</v>
      </c>
      <c r="C273" t="str">
        <f>LEFT(B273,FIND(" ",B273)-1)</f>
        <v>Dealfreez</v>
      </c>
      <c r="D273" t="str">
        <f>TRIM(RIGHT(E273,LEN(E273)-FIND("@",SUBSTITUTE(E273,"|","@",LEN(E273)-LEN(SUBSTITUTE(E273,"|",""))))))</f>
        <v>RemoteControls</v>
      </c>
      <c r="E273" t="s">
        <v>126</v>
      </c>
      <c r="F273">
        <v>349</v>
      </c>
      <c r="G273">
        <v>999</v>
      </c>
      <c r="H273" s="6">
        <v>65</v>
      </c>
      <c r="I273">
        <v>4.2</v>
      </c>
      <c r="J273">
        <v>513</v>
      </c>
    </row>
    <row r="274" spans="1:10">
      <c r="A274" t="s">
        <v>589</v>
      </c>
      <c r="B274" t="s">
        <v>590</v>
      </c>
      <c r="C274" t="str">
        <f>LEFT(B274,FIND(" ",B274)-1)</f>
        <v>Wayona</v>
      </c>
      <c r="D274" t="str">
        <f>TRIM(RIGHT(E274,LEN(E274)-FIND("@",SUBSTITUTE(E274,"|","@",LEN(E274)-LEN(SUBSTITUTE(E274,"|",""))))))</f>
        <v>USBCables</v>
      </c>
      <c r="E274" t="s">
        <v>23</v>
      </c>
      <c r="F274">
        <v>719</v>
      </c>
      <c r="G274" s="1">
        <v>1499</v>
      </c>
      <c r="H274" s="6">
        <v>52</v>
      </c>
      <c r="I274">
        <v>4.0999999999999996</v>
      </c>
      <c r="J274" s="1">
        <v>1045</v>
      </c>
    </row>
    <row r="275" spans="1:10">
      <c r="A275" t="s">
        <v>591</v>
      </c>
      <c r="B275" t="s">
        <v>592</v>
      </c>
      <c r="C275" t="str">
        <f>LEFT(B275,FIND(" ",B275)-1)</f>
        <v>VW</v>
      </c>
      <c r="D275" t="str">
        <f>TRIM(RIGHT(E275,LEN(E275)-FIND("@",SUBSTITUTE(E275,"|","@",LEN(E275)-LEN(SUBSTITUTE(E275,"|",""))))))</f>
        <v>SmartTelevisions</v>
      </c>
      <c r="E275" t="s">
        <v>60</v>
      </c>
      <c r="F275" s="1">
        <v>8999</v>
      </c>
      <c r="G275" s="1">
        <v>18999</v>
      </c>
      <c r="H275" s="6">
        <v>53</v>
      </c>
      <c r="I275">
        <v>4</v>
      </c>
      <c r="J275" s="1">
        <v>6347</v>
      </c>
    </row>
    <row r="276" spans="1:10">
      <c r="A276" t="s">
        <v>593</v>
      </c>
      <c r="B276" t="s">
        <v>594</v>
      </c>
      <c r="C276" t="str">
        <f>LEFT(B276,FIND(" ",B276)-1)</f>
        <v>Airtel</v>
      </c>
      <c r="D276" t="str">
        <f>TRIM(RIGHT(E276,LEN(E276)-FIND("@",SUBSTITUTE(E276,"|","@",LEN(E276)-LEN(SUBSTITUTE(E276,"|",""))))))</f>
        <v>SatelliteReceivers</v>
      </c>
      <c r="E276" t="s">
        <v>488</v>
      </c>
      <c r="F276">
        <v>917</v>
      </c>
      <c r="G276" s="1">
        <v>2299</v>
      </c>
      <c r="H276" s="6">
        <v>6</v>
      </c>
      <c r="I276">
        <v>4.2</v>
      </c>
      <c r="J276" s="1">
        <v>3300</v>
      </c>
    </row>
    <row r="277" spans="1:10">
      <c r="A277" t="s">
        <v>595</v>
      </c>
      <c r="B277" t="s">
        <v>596</v>
      </c>
      <c r="C277" t="str">
        <f>LEFT(B277,FIND(" ",B277)-1)</f>
        <v>LOHAYA</v>
      </c>
      <c r="D277" t="str">
        <f>TRIM(RIGHT(E277,LEN(E277)-FIND("@",SUBSTITUTE(E277,"|","@",LEN(E277)-LEN(SUBSTITUTE(E277,"|",""))))))</f>
        <v>RemoteControls</v>
      </c>
      <c r="E277" t="s">
        <v>126</v>
      </c>
      <c r="F277">
        <v>399</v>
      </c>
      <c r="G277">
        <v>999</v>
      </c>
      <c r="H277" s="6">
        <v>6</v>
      </c>
      <c r="I277">
        <v>3.3</v>
      </c>
      <c r="J277">
        <v>23</v>
      </c>
    </row>
    <row r="278" spans="1:10">
      <c r="A278" t="s">
        <v>597</v>
      </c>
      <c r="B278" t="s">
        <v>598</v>
      </c>
      <c r="C278" t="str">
        <f>LEFT(B278,FIND(" ",B278)-1)</f>
        <v>Samsung</v>
      </c>
      <c r="D278" t="str">
        <f>TRIM(RIGHT(E278,LEN(E278)-FIND("@",SUBSTITUTE(E278,"|","@",LEN(E278)-LEN(SUBSTITUTE(E278,"|",""))))))</f>
        <v>SmartTelevisions</v>
      </c>
      <c r="E278" t="s">
        <v>60</v>
      </c>
      <c r="F278" s="1">
        <v>45999</v>
      </c>
      <c r="G278" s="1">
        <v>69900</v>
      </c>
      <c r="H278" s="6">
        <v>34</v>
      </c>
      <c r="I278">
        <v>4.3</v>
      </c>
      <c r="J278" s="1">
        <v>7109</v>
      </c>
    </row>
    <row r="279" spans="1:10">
      <c r="A279" t="s">
        <v>599</v>
      </c>
      <c r="B279" t="s">
        <v>600</v>
      </c>
      <c r="C279" t="str">
        <f>LEFT(B279,FIND(" ",B279)-1)</f>
        <v>Amazon</v>
      </c>
      <c r="D279" t="str">
        <f>TRIM(RIGHT(E279,LEN(E279)-FIND("@",SUBSTITUTE(E279,"|","@",LEN(E279)-LEN(SUBSTITUTE(E279,"|",""))))))</f>
        <v>USBCables</v>
      </c>
      <c r="E279" t="s">
        <v>23</v>
      </c>
      <c r="F279">
        <v>119</v>
      </c>
      <c r="G279">
        <v>299</v>
      </c>
      <c r="H279" s="6">
        <v>6</v>
      </c>
      <c r="I279">
        <v>3.8</v>
      </c>
      <c r="J279">
        <v>51</v>
      </c>
    </row>
    <row r="280" spans="1:10">
      <c r="A280" t="s">
        <v>601</v>
      </c>
      <c r="B280" t="s">
        <v>602</v>
      </c>
      <c r="C280" t="str">
        <f>LEFT(B280,FIND(" ",B280)-1)</f>
        <v>Mi</v>
      </c>
      <c r="D280" t="str">
        <f>TRIM(RIGHT(E280,LEN(E280)-FIND("@",SUBSTITUTE(E280,"|","@",LEN(E280)-LEN(SUBSTITUTE(E280,"|",""))))))</f>
        <v>SmartTelevisions</v>
      </c>
      <c r="E280" t="s">
        <v>60</v>
      </c>
      <c r="F280" s="1">
        <v>21999</v>
      </c>
      <c r="G280" s="1">
        <v>29999</v>
      </c>
      <c r="H280" s="6">
        <v>27</v>
      </c>
      <c r="I280">
        <v>4.2</v>
      </c>
      <c r="J280" s="1">
        <v>32840</v>
      </c>
    </row>
    <row r="281" spans="1:10">
      <c r="A281" t="s">
        <v>603</v>
      </c>
      <c r="B281" t="s">
        <v>604</v>
      </c>
      <c r="C281" t="str">
        <f>LEFT(B281,FIND(" ",B281)-1)</f>
        <v>Astigo</v>
      </c>
      <c r="D281" t="str">
        <f>TRIM(RIGHT(E281,LEN(E281)-FIND("@",SUBSTITUTE(E281,"|","@",LEN(E281)-LEN(SUBSTITUTE(E281,"|",""))))))</f>
        <v>RemoteControls</v>
      </c>
      <c r="E281" t="s">
        <v>126</v>
      </c>
      <c r="F281">
        <v>299</v>
      </c>
      <c r="G281">
        <v>599</v>
      </c>
      <c r="H281" s="6">
        <v>5</v>
      </c>
      <c r="I281">
        <v>3.7</v>
      </c>
      <c r="J281">
        <v>708</v>
      </c>
    </row>
    <row r="282" spans="1:10">
      <c r="A282" t="s">
        <v>605</v>
      </c>
      <c r="B282" t="s">
        <v>606</v>
      </c>
      <c r="C282" t="str">
        <f>LEFT(B282,FIND(" ",B282)-1)</f>
        <v>Toshiba</v>
      </c>
      <c r="D282" t="str">
        <f>TRIM(RIGHT(E282,LEN(E282)-FIND("@",SUBSTITUTE(E282,"|","@",LEN(E282)-LEN(SUBSTITUTE(E282,"|",""))))))</f>
        <v>SmartTelevisions</v>
      </c>
      <c r="E282" t="s">
        <v>60</v>
      </c>
      <c r="F282" s="1">
        <v>21990</v>
      </c>
      <c r="G282" s="1">
        <v>34990</v>
      </c>
      <c r="H282" s="6">
        <v>37</v>
      </c>
      <c r="I282">
        <v>4.3</v>
      </c>
      <c r="J282" s="1">
        <v>1657</v>
      </c>
    </row>
    <row r="283" spans="1:10">
      <c r="A283" t="s">
        <v>607</v>
      </c>
      <c r="B283" t="s">
        <v>608</v>
      </c>
      <c r="C283" t="str">
        <f>LEFT(B283,FIND(" ",B283)-1)</f>
        <v>Lenovo</v>
      </c>
      <c r="D283" t="str">
        <f>TRIM(RIGHT(E283,LEN(E283)-FIND("@",SUBSTITUTE(E283,"|","@",LEN(E283)-LEN(SUBSTITUTE(E283,"|",""))))))</f>
        <v>USBCables</v>
      </c>
      <c r="E283" t="s">
        <v>23</v>
      </c>
      <c r="F283">
        <v>417.44</v>
      </c>
      <c r="G283">
        <v>670</v>
      </c>
      <c r="H283" s="6">
        <v>38</v>
      </c>
      <c r="I283">
        <v>3.9</v>
      </c>
      <c r="J283">
        <v>523</v>
      </c>
    </row>
    <row r="284" spans="1:10">
      <c r="A284" t="s">
        <v>609</v>
      </c>
      <c r="B284" t="s">
        <v>610</v>
      </c>
      <c r="C284" t="str">
        <f>LEFT(B284,FIND(" ",B284)-1)</f>
        <v>Amazon</v>
      </c>
      <c r="D284" t="str">
        <f>TRIM(RIGHT(E284,LEN(E284)-FIND("@",SUBSTITUTE(E284,"|","@",LEN(E284)-LEN(SUBSTITUTE(E284,"|",""))))))</f>
        <v>USBCables</v>
      </c>
      <c r="E284" t="s">
        <v>23</v>
      </c>
      <c r="F284">
        <v>199</v>
      </c>
      <c r="G284">
        <v>999</v>
      </c>
      <c r="H284" s="6">
        <v>8</v>
      </c>
      <c r="I284">
        <v>3</v>
      </c>
    </row>
    <row r="285" spans="1:10">
      <c r="A285" t="s">
        <v>611</v>
      </c>
      <c r="B285" t="s">
        <v>612</v>
      </c>
      <c r="C285" t="str">
        <f>LEFT(B285,FIND(" ",B285)-1)</f>
        <v>LG</v>
      </c>
      <c r="D285" t="str">
        <f>TRIM(RIGHT(E285,LEN(E285)-FIND("@",SUBSTITUTE(E285,"|","@",LEN(E285)-LEN(SUBSTITUTE(E285,"|",""))))))</f>
        <v>SmartTelevisions</v>
      </c>
      <c r="E285" t="s">
        <v>60</v>
      </c>
      <c r="F285" s="1">
        <v>47990</v>
      </c>
      <c r="G285" s="1">
        <v>79990</v>
      </c>
      <c r="H285" s="6">
        <v>4</v>
      </c>
      <c r="I285">
        <v>4.3</v>
      </c>
      <c r="J285" s="1">
        <v>1376</v>
      </c>
    </row>
    <row r="286" spans="1:10">
      <c r="A286" t="s">
        <v>613</v>
      </c>
      <c r="B286" t="s">
        <v>614</v>
      </c>
      <c r="C286" t="str">
        <f>LEFT(B286,FIND(" ",B286)-1)</f>
        <v>Tata</v>
      </c>
      <c r="D286" t="str">
        <f>TRIM(RIGHT(E286,LEN(E286)-FIND("@",SUBSTITUTE(E286,"|","@",LEN(E286)-LEN(SUBSTITUTE(E286,"|",""))))))</f>
        <v>RemoteControls</v>
      </c>
      <c r="E286" t="s">
        <v>126</v>
      </c>
      <c r="F286">
        <v>215</v>
      </c>
      <c r="G286">
        <v>499</v>
      </c>
      <c r="H286" s="6">
        <v>57</v>
      </c>
      <c r="I286">
        <v>3.5</v>
      </c>
      <c r="J286">
        <v>121</v>
      </c>
    </row>
    <row r="287" spans="1:10">
      <c r="A287" t="s">
        <v>615</v>
      </c>
      <c r="B287" t="s">
        <v>616</v>
      </c>
      <c r="C287" t="str">
        <f>LEFT(B287,FIND(" ",B287)-1)</f>
        <v>pTron</v>
      </c>
      <c r="D287" t="str">
        <f>TRIM(RIGHT(E287,LEN(E287)-FIND("@",SUBSTITUTE(E287,"|","@",LEN(E287)-LEN(SUBSTITUTE(E287,"|",""))))))</f>
        <v>USBCables</v>
      </c>
      <c r="E287" t="s">
        <v>23</v>
      </c>
      <c r="F287">
        <v>99</v>
      </c>
      <c r="G287">
        <v>800</v>
      </c>
      <c r="H287" s="6">
        <v>88</v>
      </c>
      <c r="I287">
        <v>3.9</v>
      </c>
      <c r="J287" s="1">
        <v>1075</v>
      </c>
    </row>
    <row r="288" spans="1:10">
      <c r="A288" t="s">
        <v>617</v>
      </c>
      <c r="B288" t="s">
        <v>618</v>
      </c>
      <c r="C288" t="str">
        <f>LEFT(B288,FIND(" ",B288)-1)</f>
        <v>VU</v>
      </c>
      <c r="D288" t="str">
        <f>TRIM(RIGHT(E288,LEN(E288)-FIND("@",SUBSTITUTE(E288,"|","@",LEN(E288)-LEN(SUBSTITUTE(E288,"|",""))))))</f>
        <v>SmartTelevisions</v>
      </c>
      <c r="E288" t="s">
        <v>60</v>
      </c>
      <c r="F288" s="1">
        <v>18999</v>
      </c>
      <c r="G288" s="1">
        <v>35000</v>
      </c>
      <c r="H288" s="6">
        <v>46</v>
      </c>
      <c r="I288">
        <v>4</v>
      </c>
      <c r="J288" s="1">
        <v>1001</v>
      </c>
    </row>
    <row r="289" spans="1:10">
      <c r="A289" t="s">
        <v>619</v>
      </c>
      <c r="B289" t="s">
        <v>620</v>
      </c>
      <c r="C289" t="str">
        <f>LEFT(B289,FIND(" ",B289)-1)</f>
        <v>Storite</v>
      </c>
      <c r="D289" t="str">
        <f>TRIM(RIGHT(E289,LEN(E289)-FIND("@",SUBSTITUTE(E289,"|","@",LEN(E289)-LEN(SUBSTITUTE(E289,"|",""))))))</f>
        <v>USBCables</v>
      </c>
      <c r="E289" t="s">
        <v>23</v>
      </c>
      <c r="F289">
        <v>249</v>
      </c>
      <c r="G289">
        <v>999</v>
      </c>
      <c r="H289" s="6">
        <v>75</v>
      </c>
      <c r="I289">
        <v>4.3</v>
      </c>
      <c r="J289">
        <v>112</v>
      </c>
    </row>
    <row r="290" spans="1:10">
      <c r="A290" t="s">
        <v>621</v>
      </c>
      <c r="B290" t="s">
        <v>622</v>
      </c>
      <c r="C290" t="str">
        <f>LEFT(B290,FIND(" ",B290)-1)</f>
        <v>Kodak</v>
      </c>
      <c r="D290" t="str">
        <f>TRIM(RIGHT(E290,LEN(E290)-FIND("@",SUBSTITUTE(E290,"|","@",LEN(E290)-LEN(SUBSTITUTE(E290,"|",""))))))</f>
        <v>StandardTelevisions</v>
      </c>
      <c r="E290" t="s">
        <v>137</v>
      </c>
      <c r="F290" s="1">
        <v>7999</v>
      </c>
      <c r="G290" s="1">
        <v>15999</v>
      </c>
      <c r="H290" s="6">
        <v>5</v>
      </c>
      <c r="I290">
        <v>3.8</v>
      </c>
      <c r="J290" s="1">
        <v>3022</v>
      </c>
    </row>
    <row r="291" spans="1:10">
      <c r="A291" t="s">
        <v>623</v>
      </c>
      <c r="B291" t="s">
        <v>624</v>
      </c>
      <c r="C291" t="str">
        <f>LEFT(B291,FIND(" ",B291)-1)</f>
        <v>AmazonBasics</v>
      </c>
      <c r="D291" t="str">
        <f>TRIM(RIGHT(E291,LEN(E291)-FIND("@",SUBSTITUTE(E291,"|","@",LEN(E291)-LEN(SUBSTITUTE(E291,"|",""))))))</f>
        <v>USBCables</v>
      </c>
      <c r="E291" t="s">
        <v>23</v>
      </c>
      <c r="F291">
        <v>649</v>
      </c>
      <c r="G291" s="1">
        <v>1600</v>
      </c>
      <c r="H291" s="6">
        <v>59</v>
      </c>
      <c r="I291">
        <v>4.3</v>
      </c>
      <c r="J291" s="1">
        <v>5451</v>
      </c>
    </row>
    <row r="292" spans="1:10">
      <c r="A292" t="s">
        <v>625</v>
      </c>
      <c r="B292" t="s">
        <v>190</v>
      </c>
      <c r="C292" t="str">
        <f>LEFT(B292,FIND(" ",B292)-1)</f>
        <v>Firestick</v>
      </c>
      <c r="D292" t="str">
        <f>TRIM(RIGHT(E292,LEN(E292)-FIND("@",SUBSTITUTE(E292,"|","@",LEN(E292)-LEN(SUBSTITUTE(E292,"|",""))))))</f>
        <v>RemoteControls</v>
      </c>
      <c r="E292" t="s">
        <v>126</v>
      </c>
      <c r="F292" s="1">
        <v>1289</v>
      </c>
      <c r="G292" s="1">
        <v>2499</v>
      </c>
      <c r="H292" s="6">
        <v>48</v>
      </c>
      <c r="I292">
        <v>3.3</v>
      </c>
      <c r="J292">
        <v>73</v>
      </c>
    </row>
    <row r="293" spans="1:10">
      <c r="A293" t="s">
        <v>626</v>
      </c>
      <c r="B293" t="s">
        <v>627</v>
      </c>
      <c r="C293" t="str">
        <f>LEFT(B293,FIND(" ",B293)-1)</f>
        <v>AmazonBasics</v>
      </c>
      <c r="D293" t="str">
        <f>TRIM(RIGHT(E293,LEN(E293)-FIND("@",SUBSTITUTE(E293,"|","@",LEN(E293)-LEN(SUBSTITUTE(E293,"|",""))))))</f>
        <v>HDMICables</v>
      </c>
      <c r="E293" t="s">
        <v>50</v>
      </c>
      <c r="F293">
        <v>609</v>
      </c>
      <c r="G293" s="1">
        <v>1500</v>
      </c>
      <c r="H293" s="6">
        <v>59</v>
      </c>
      <c r="I293">
        <v>4.5</v>
      </c>
      <c r="J293" s="1">
        <v>1029</v>
      </c>
    </row>
    <row r="294" spans="1:10">
      <c r="A294" t="s">
        <v>628</v>
      </c>
      <c r="B294" t="s">
        <v>629</v>
      </c>
      <c r="C294" t="str">
        <f>LEFT(B294,FIND(" ",B294)-1)</f>
        <v>Hisense</v>
      </c>
      <c r="D294" t="str">
        <f>TRIM(RIGHT(E294,LEN(E294)-FIND("@",SUBSTITUTE(E294,"|","@",LEN(E294)-LEN(SUBSTITUTE(E294,"|",""))))))</f>
        <v>SmartTelevisions</v>
      </c>
      <c r="E294" t="s">
        <v>60</v>
      </c>
      <c r="F294" s="1">
        <v>32990</v>
      </c>
      <c r="G294" s="1">
        <v>54990</v>
      </c>
      <c r="H294" s="6">
        <v>4</v>
      </c>
      <c r="I294">
        <v>4.0999999999999996</v>
      </c>
      <c r="J294" s="1">
        <v>1555</v>
      </c>
    </row>
    <row r="295" spans="1:10">
      <c r="A295" t="s">
        <v>630</v>
      </c>
      <c r="B295" t="s">
        <v>631</v>
      </c>
      <c r="C295" t="str">
        <f>LEFT(B295,FIND(" ",B295)-1)</f>
        <v>Tuarso</v>
      </c>
      <c r="D295" t="str">
        <f>TRIM(RIGHT(E295,LEN(E295)-FIND("@",SUBSTITUTE(E295,"|","@",LEN(E295)-LEN(SUBSTITUTE(E295,"|",""))))))</f>
        <v>HDMICables</v>
      </c>
      <c r="E295" t="s">
        <v>50</v>
      </c>
      <c r="F295">
        <v>599</v>
      </c>
      <c r="G295" s="1">
        <v>1999</v>
      </c>
      <c r="H295" s="6">
        <v>7</v>
      </c>
      <c r="I295">
        <v>4.2</v>
      </c>
      <c r="J295">
        <v>47</v>
      </c>
    </row>
    <row r="296" spans="1:10">
      <c r="A296" t="s">
        <v>632</v>
      </c>
      <c r="B296" t="s">
        <v>633</v>
      </c>
      <c r="C296" t="str">
        <f>LEFT(B296,FIND(" ",B296)-1)</f>
        <v>AmazonBasics</v>
      </c>
      <c r="D296" t="str">
        <f>TRIM(RIGHT(E296,LEN(E296)-FIND("@",SUBSTITUTE(E296,"|","@",LEN(E296)-LEN(SUBSTITUTE(E296,"|",""))))))</f>
        <v>USBCables</v>
      </c>
      <c r="E296" t="s">
        <v>23</v>
      </c>
      <c r="F296">
        <v>349</v>
      </c>
      <c r="G296">
        <v>899</v>
      </c>
      <c r="H296" s="6">
        <v>61</v>
      </c>
      <c r="I296">
        <v>4.0999999999999996</v>
      </c>
      <c r="J296" s="1">
        <v>14896</v>
      </c>
    </row>
    <row r="297" spans="1:10">
      <c r="A297" t="s">
        <v>634</v>
      </c>
      <c r="B297" t="s">
        <v>635</v>
      </c>
      <c r="C297" t="str">
        <f>LEFT(B297,FIND(" ",B297)-1)</f>
        <v>Kodak</v>
      </c>
      <c r="D297" t="str">
        <f>TRIM(RIGHT(E297,LEN(E297)-FIND("@",SUBSTITUTE(E297,"|","@",LEN(E297)-LEN(SUBSTITUTE(E297,"|",""))))))</f>
        <v>SmartTelevisions</v>
      </c>
      <c r="E297" t="s">
        <v>60</v>
      </c>
      <c r="F297" s="1">
        <v>29999</v>
      </c>
      <c r="G297" s="1">
        <v>50999</v>
      </c>
      <c r="H297" s="6">
        <v>41</v>
      </c>
      <c r="I297">
        <v>4.4000000000000004</v>
      </c>
      <c r="J297" s="1">
        <v>1712</v>
      </c>
    </row>
    <row r="298" spans="1:10">
      <c r="A298" t="s">
        <v>636</v>
      </c>
      <c r="B298" t="s">
        <v>528</v>
      </c>
      <c r="C298" t="str">
        <f>LEFT(B298,FIND(" ",B298)-1)</f>
        <v>SmashtronicsÂ®</v>
      </c>
      <c r="D298" t="str">
        <f>TRIM(RIGHT(E298,LEN(E298)-FIND("@",SUBSTITUTE(E298,"|","@",LEN(E298)-LEN(SUBSTITUTE(E298,"|",""))))))</f>
        <v>RemoteControls</v>
      </c>
      <c r="E298" t="s">
        <v>126</v>
      </c>
      <c r="F298">
        <v>199</v>
      </c>
      <c r="G298">
        <v>399</v>
      </c>
      <c r="H298" s="6">
        <v>5</v>
      </c>
      <c r="I298">
        <v>4.2</v>
      </c>
      <c r="J298" s="1">
        <v>1335</v>
      </c>
    </row>
    <row r="299" spans="1:10">
      <c r="A299" t="s">
        <v>637</v>
      </c>
      <c r="B299" t="s">
        <v>638</v>
      </c>
      <c r="C299" t="str">
        <f>LEFT(B299,FIND(" ",B299)-1)</f>
        <v>7SEVENÂ®</v>
      </c>
      <c r="D299" t="str">
        <f>TRIM(RIGHT(E299,LEN(E299)-FIND("@",SUBSTITUTE(E299,"|","@",LEN(E299)-LEN(SUBSTITUTE(E299,"|",""))))))</f>
        <v>RemoteControls</v>
      </c>
      <c r="E299" t="s">
        <v>126</v>
      </c>
      <c r="F299">
        <v>349</v>
      </c>
      <c r="G299">
        <v>699</v>
      </c>
      <c r="H299" s="6">
        <v>5</v>
      </c>
      <c r="I299">
        <v>3.9</v>
      </c>
      <c r="J299">
        <v>214</v>
      </c>
    </row>
    <row r="300" spans="1:10">
      <c r="A300" t="s">
        <v>639</v>
      </c>
      <c r="B300" t="s">
        <v>640</v>
      </c>
      <c r="C300" t="str">
        <f>LEFT(B300,FIND(" ",B300)-1)</f>
        <v>PROLEGENDÂ®</v>
      </c>
      <c r="D300" t="str">
        <f>TRIM(RIGHT(E300,LEN(E300)-FIND("@",SUBSTITUTE(E300,"|","@",LEN(E300)-LEN(SUBSTITUTE(E300,"|",""))))))</f>
        <v>TVWall&amp;CeilingMounts</v>
      </c>
      <c r="E300" t="s">
        <v>168</v>
      </c>
      <c r="F300" s="1">
        <v>1850</v>
      </c>
      <c r="G300" s="1">
        <v>4500</v>
      </c>
      <c r="H300" s="6">
        <v>59</v>
      </c>
      <c r="I300">
        <v>4</v>
      </c>
      <c r="J300">
        <v>184</v>
      </c>
    </row>
    <row r="301" spans="1:10">
      <c r="A301" t="s">
        <v>641</v>
      </c>
      <c r="B301" t="s">
        <v>642</v>
      </c>
      <c r="C301" t="str">
        <f>LEFT(B301,FIND(" ",B301)-1)</f>
        <v>WANBO</v>
      </c>
      <c r="D301" t="str">
        <f>TRIM(RIGHT(E301,LEN(E301)-FIND("@",SUBSTITUTE(E301,"|","@",LEN(E301)-LEN(SUBSTITUTE(E301,"|",""))))))</f>
        <v>Projectors</v>
      </c>
      <c r="E301" t="s">
        <v>351</v>
      </c>
      <c r="F301" s="1">
        <v>13990</v>
      </c>
      <c r="G301" s="1">
        <v>28900</v>
      </c>
      <c r="H301" s="6">
        <v>52</v>
      </c>
      <c r="I301">
        <v>4.5</v>
      </c>
      <c r="J301">
        <v>7</v>
      </c>
    </row>
    <row r="302" spans="1:10">
      <c r="A302" t="s">
        <v>643</v>
      </c>
      <c r="B302" t="s">
        <v>644</v>
      </c>
      <c r="C302" t="str">
        <f>LEFT(B302,FIND(" ",B302)-1)</f>
        <v>Lava</v>
      </c>
      <c r="D302" t="str">
        <f>TRIM(RIGHT(E302,LEN(E302)-FIND("@",SUBSTITUTE(E302,"|","@",LEN(E302)-LEN(SUBSTITUTE(E302,"|",""))))))</f>
        <v>USBCables</v>
      </c>
      <c r="E302" t="s">
        <v>23</v>
      </c>
      <c r="F302">
        <v>129</v>
      </c>
      <c r="G302">
        <v>449</v>
      </c>
      <c r="H302" s="6">
        <v>71</v>
      </c>
      <c r="I302">
        <v>3.7</v>
      </c>
      <c r="J302">
        <v>41</v>
      </c>
    </row>
    <row r="303" spans="1:10">
      <c r="A303" t="s">
        <v>645</v>
      </c>
      <c r="B303" t="s">
        <v>646</v>
      </c>
      <c r="C303" t="str">
        <f>LEFT(B303,FIND(" ",B303)-1)</f>
        <v>TIZUM</v>
      </c>
      <c r="D303" t="str">
        <f>TRIM(RIGHT(E303,LEN(E303)-FIND("@",SUBSTITUTE(E303,"|","@",LEN(E303)-LEN(SUBSTITUTE(E303,"|",""))))))</f>
        <v>HDMICables</v>
      </c>
      <c r="E303" t="s">
        <v>50</v>
      </c>
      <c r="F303">
        <v>379</v>
      </c>
      <c r="G303">
        <v>999</v>
      </c>
      <c r="H303" s="6">
        <v>62</v>
      </c>
      <c r="I303">
        <v>4.2</v>
      </c>
      <c r="J303" s="1">
        <v>12153</v>
      </c>
    </row>
    <row r="304" spans="1:10">
      <c r="A304" t="s">
        <v>647</v>
      </c>
      <c r="B304" t="s">
        <v>648</v>
      </c>
      <c r="C304" t="str">
        <f>LEFT(B304,FIND(" ",B304)-1)</f>
        <v>Technotech</v>
      </c>
      <c r="D304" t="str">
        <f>TRIM(RIGHT(E304,LEN(E304)-FIND("@",SUBSTITUTE(E304,"|","@",LEN(E304)-LEN(SUBSTITUTE(E304,"|",""))))))</f>
        <v>HDMICables</v>
      </c>
      <c r="E304" t="s">
        <v>50</v>
      </c>
      <c r="F304">
        <v>185</v>
      </c>
      <c r="G304">
        <v>499</v>
      </c>
      <c r="H304" s="6">
        <v>63</v>
      </c>
      <c r="I304">
        <v>4.2</v>
      </c>
      <c r="J304">
        <v>25</v>
      </c>
    </row>
    <row r="305" spans="1:10">
      <c r="A305" t="s">
        <v>649</v>
      </c>
      <c r="B305" t="s">
        <v>650</v>
      </c>
      <c r="C305" t="str">
        <f>LEFT(B305,FIND(" ",B305)-1)</f>
        <v>NK</v>
      </c>
      <c r="D305" t="str">
        <f>TRIM(RIGHT(E305,LEN(E305)-FIND("@",SUBSTITUTE(E305,"|","@",LEN(E305)-LEN(SUBSTITUTE(E305,"|",""))))))</f>
        <v>WirelessUSBAdapters</v>
      </c>
      <c r="E305" t="s">
        <v>40</v>
      </c>
      <c r="F305">
        <v>218</v>
      </c>
      <c r="G305">
        <v>999</v>
      </c>
      <c r="H305" s="6">
        <v>78</v>
      </c>
      <c r="I305">
        <v>4.2</v>
      </c>
      <c r="J305">
        <v>163</v>
      </c>
    </row>
    <row r="306" spans="1:10">
      <c r="A306" t="s">
        <v>651</v>
      </c>
      <c r="B306" t="s">
        <v>652</v>
      </c>
      <c r="C306" t="str">
        <f>LEFT(B306,FIND(" ",B306)-1)</f>
        <v>LS</v>
      </c>
      <c r="D306" t="str">
        <f>TRIM(RIGHT(E306,LEN(E306)-FIND("@",SUBSTITUTE(E306,"|","@",LEN(E306)-LEN(SUBSTITUTE(E306,"|",""))))))</f>
        <v>USBCables</v>
      </c>
      <c r="E306" t="s">
        <v>23</v>
      </c>
      <c r="F306">
        <v>199</v>
      </c>
      <c r="G306">
        <v>999</v>
      </c>
      <c r="H306" s="6">
        <v>8</v>
      </c>
      <c r="I306">
        <v>4.3</v>
      </c>
      <c r="J306">
        <v>87</v>
      </c>
    </row>
    <row r="307" spans="1:10">
      <c r="A307" t="s">
        <v>653</v>
      </c>
      <c r="B307" t="s">
        <v>654</v>
      </c>
      <c r="C307" t="str">
        <f>LEFT(B307,FIND(" ",B307)-1)</f>
        <v>Amazon</v>
      </c>
      <c r="D307" t="str">
        <f>TRIM(RIGHT(E307,LEN(E307)-FIND("@",SUBSTITUTE(E307,"|","@",LEN(E307)-LEN(SUBSTITUTE(E307,"|",""))))))</f>
        <v>HDMICables</v>
      </c>
      <c r="E307" t="s">
        <v>50</v>
      </c>
      <c r="F307">
        <v>499</v>
      </c>
      <c r="G307">
        <v>900</v>
      </c>
      <c r="H307" s="6">
        <v>45</v>
      </c>
      <c r="I307">
        <v>4.4000000000000004</v>
      </c>
      <c r="J307" s="1">
        <v>2165</v>
      </c>
    </row>
    <row r="308" spans="1:10">
      <c r="A308" t="s">
        <v>655</v>
      </c>
      <c r="B308" t="s">
        <v>656</v>
      </c>
      <c r="C308" t="str">
        <f>LEFT(B308,FIND(" ",B308)-1)</f>
        <v>Kodak</v>
      </c>
      <c r="D308" t="str">
        <f>TRIM(RIGHT(E308,LEN(E308)-FIND("@",SUBSTITUTE(E308,"|","@",LEN(E308)-LEN(SUBSTITUTE(E308,"|",""))))))</f>
        <v>SmartTelevisions</v>
      </c>
      <c r="E308" t="s">
        <v>60</v>
      </c>
      <c r="F308" s="1">
        <v>26999</v>
      </c>
      <c r="G308" s="1">
        <v>42999</v>
      </c>
      <c r="H308" s="6">
        <v>37</v>
      </c>
      <c r="I308">
        <v>4.2</v>
      </c>
      <c r="J308" s="1">
        <v>1510</v>
      </c>
    </row>
    <row r="309" spans="1:10">
      <c r="A309" t="s">
        <v>657</v>
      </c>
      <c r="B309" t="s">
        <v>658</v>
      </c>
      <c r="C309" t="str">
        <f>LEFT(B309,FIND(" ",B309)-1)</f>
        <v>ZORBESÂ®</v>
      </c>
      <c r="D309" t="str">
        <f>TRIM(RIGHT(E309,LEN(E309)-FIND("@",SUBSTITUTE(E309,"|","@",LEN(E309)-LEN(SUBSTITUTE(E309,"|",""))))))</f>
        <v>TVWall&amp;CeilingMounts</v>
      </c>
      <c r="E309" t="s">
        <v>168</v>
      </c>
      <c r="F309">
        <v>893</v>
      </c>
      <c r="G309" s="1">
        <v>1052</v>
      </c>
      <c r="H309" s="6">
        <v>15</v>
      </c>
      <c r="I309">
        <v>4.3</v>
      </c>
      <c r="J309">
        <v>106</v>
      </c>
    </row>
    <row r="310" spans="1:10">
      <c r="A310" t="s">
        <v>659</v>
      </c>
      <c r="B310" t="s">
        <v>660</v>
      </c>
      <c r="C310" t="str">
        <f>LEFT(B310,FIND(" ",B310)-1)</f>
        <v>Sansui</v>
      </c>
      <c r="D310" t="str">
        <f>TRIM(RIGHT(E310,LEN(E310)-FIND("@",SUBSTITUTE(E310,"|","@",LEN(E310)-LEN(SUBSTITUTE(E310,"|",""))))))</f>
        <v>SmartTelevisions</v>
      </c>
      <c r="E310" t="s">
        <v>60</v>
      </c>
      <c r="F310" s="1">
        <v>10990</v>
      </c>
      <c r="G310" s="1">
        <v>19990</v>
      </c>
      <c r="H310" s="6">
        <v>45</v>
      </c>
      <c r="I310">
        <v>3.7</v>
      </c>
      <c r="J310">
        <v>129</v>
      </c>
    </row>
    <row r="311" spans="1:10">
      <c r="A311" t="s">
        <v>661</v>
      </c>
      <c r="B311" t="s">
        <v>662</v>
      </c>
      <c r="C311" t="str">
        <f>LEFT(B311,FIND(" ",B311)-1)</f>
        <v>Synqe</v>
      </c>
      <c r="D311" t="str">
        <f>TRIM(RIGHT(E311,LEN(E311)-FIND("@",SUBSTITUTE(E311,"|","@",LEN(E311)-LEN(SUBSTITUTE(E311,"|",""))))))</f>
        <v>USBCables</v>
      </c>
      <c r="E311" t="s">
        <v>23</v>
      </c>
      <c r="F311">
        <v>379</v>
      </c>
      <c r="G311" s="1">
        <v>1099</v>
      </c>
      <c r="H311" s="6">
        <v>66</v>
      </c>
      <c r="I311">
        <v>4.3</v>
      </c>
      <c r="J311" s="1">
        <v>3049</v>
      </c>
    </row>
    <row r="312" spans="1:10">
      <c r="A312" t="s">
        <v>663</v>
      </c>
      <c r="B312" t="s">
        <v>664</v>
      </c>
      <c r="C312" t="str">
        <f>LEFT(B312,FIND(" ",B312)-1)</f>
        <v>MI</v>
      </c>
      <c r="D312" t="str">
        <f>TRIM(RIGHT(E312,LEN(E312)-FIND("@",SUBSTITUTE(E312,"|","@",LEN(E312)-LEN(SUBSTITUTE(E312,"|",""))))))</f>
        <v>SmartTelevisions</v>
      </c>
      <c r="E312" t="s">
        <v>60</v>
      </c>
      <c r="F312" s="1">
        <v>16999</v>
      </c>
      <c r="G312" s="1">
        <v>25999</v>
      </c>
      <c r="H312" s="6">
        <v>35</v>
      </c>
      <c r="I312">
        <v>4.2</v>
      </c>
      <c r="J312" s="1">
        <v>32840</v>
      </c>
    </row>
    <row r="313" spans="1:10">
      <c r="A313" t="s">
        <v>665</v>
      </c>
      <c r="B313" t="s">
        <v>666</v>
      </c>
      <c r="C313" t="str">
        <f>LEFT(B313,FIND(" ",B313)-1)</f>
        <v>Bestor</v>
      </c>
      <c r="D313" t="str">
        <f>TRIM(RIGHT(E313,LEN(E313)-FIND("@",SUBSTITUTE(E313,"|","@",LEN(E313)-LEN(SUBSTITUTE(E313,"|",""))))))</f>
        <v>HDMICables</v>
      </c>
      <c r="E313" t="s">
        <v>50</v>
      </c>
      <c r="F313">
        <v>699</v>
      </c>
      <c r="G313" s="1">
        <v>1899</v>
      </c>
      <c r="H313" s="6">
        <v>63</v>
      </c>
      <c r="I313">
        <v>4.4000000000000004</v>
      </c>
      <c r="J313">
        <v>390</v>
      </c>
    </row>
    <row r="314" spans="1:10">
      <c r="A314" t="s">
        <v>667</v>
      </c>
      <c r="B314" t="s">
        <v>668</v>
      </c>
      <c r="C314" t="str">
        <f>LEFT(B314,FIND(" ",B314)-1)</f>
        <v>Irusu</v>
      </c>
      <c r="D314" t="str">
        <f>TRIM(RIGHT(E314,LEN(E314)-FIND("@",SUBSTITUTE(E314,"|","@",LEN(E314)-LEN(SUBSTITUTE(E314,"|",""))))))</f>
        <v>3DGlasses</v>
      </c>
      <c r="E314" t="s">
        <v>669</v>
      </c>
      <c r="F314" s="1">
        <v>2699</v>
      </c>
      <c r="G314" s="1">
        <v>3500</v>
      </c>
      <c r="H314" s="6">
        <v>23</v>
      </c>
      <c r="I314">
        <v>3.5</v>
      </c>
      <c r="J314">
        <v>621</v>
      </c>
    </row>
    <row r="315" spans="1:10">
      <c r="A315" t="s">
        <v>670</v>
      </c>
      <c r="B315" t="s">
        <v>671</v>
      </c>
      <c r="C315" t="str">
        <f>LEFT(B315,FIND(" ",B315)-1)</f>
        <v>Amazon</v>
      </c>
      <c r="D315" t="str">
        <f>TRIM(RIGHT(E315,LEN(E315)-FIND("@",SUBSTITUTE(E315,"|","@",LEN(E315)-LEN(SUBSTITUTE(E315,"|",""))))))</f>
        <v>USBCables</v>
      </c>
      <c r="E315" t="s">
        <v>23</v>
      </c>
      <c r="F315">
        <v>129</v>
      </c>
      <c r="G315">
        <v>599</v>
      </c>
      <c r="H315" s="6">
        <v>78</v>
      </c>
      <c r="I315">
        <v>4.0999999999999996</v>
      </c>
      <c r="J315">
        <v>265</v>
      </c>
    </row>
    <row r="316" spans="1:10">
      <c r="A316" t="s">
        <v>672</v>
      </c>
      <c r="B316" t="s">
        <v>673</v>
      </c>
      <c r="C316" t="str">
        <f>LEFT(B316,FIND(" ",B316)-1)</f>
        <v>Synqe</v>
      </c>
      <c r="D316" t="str">
        <f>TRIM(RIGHT(E316,LEN(E316)-FIND("@",SUBSTITUTE(E316,"|","@",LEN(E316)-LEN(SUBSTITUTE(E316,"|",""))))))</f>
        <v>USBCables</v>
      </c>
      <c r="E316" t="s">
        <v>23</v>
      </c>
      <c r="F316">
        <v>389</v>
      </c>
      <c r="G316">
        <v>999</v>
      </c>
      <c r="H316" s="6">
        <v>61</v>
      </c>
      <c r="I316">
        <v>4.3</v>
      </c>
      <c r="J316">
        <v>838</v>
      </c>
    </row>
    <row r="317" spans="1:10">
      <c r="A317" t="s">
        <v>674</v>
      </c>
      <c r="B317" t="s">
        <v>675</v>
      </c>
      <c r="C317" t="str">
        <f>LEFT(B317,FIND(" ",B317)-1)</f>
        <v>Shopoflux</v>
      </c>
      <c r="D317" t="str">
        <f>TRIM(RIGHT(E317,LEN(E317)-FIND("@",SUBSTITUTE(E317,"|","@",LEN(E317)-LEN(SUBSTITUTE(E317,"|",""))))))</f>
        <v>RemoteControls</v>
      </c>
      <c r="E317" t="s">
        <v>126</v>
      </c>
      <c r="F317">
        <v>246</v>
      </c>
      <c r="G317">
        <v>600</v>
      </c>
      <c r="H317" s="6">
        <v>59</v>
      </c>
      <c r="I317">
        <v>4.2</v>
      </c>
      <c r="J317">
        <v>143</v>
      </c>
    </row>
    <row r="318" spans="1:10">
      <c r="A318" t="s">
        <v>676</v>
      </c>
      <c r="B318" t="s">
        <v>677</v>
      </c>
      <c r="C318" t="str">
        <f>LEFT(B318,FIND(" ",B318)-1)</f>
        <v>EYNK</v>
      </c>
      <c r="D318" t="str">
        <f>TRIM(RIGHT(E318,LEN(E318)-FIND("@",SUBSTITUTE(E318,"|","@",LEN(E318)-LEN(SUBSTITUTE(E318,"|",""))))))</f>
        <v>USBCables</v>
      </c>
      <c r="E318" t="s">
        <v>23</v>
      </c>
      <c r="F318">
        <v>299</v>
      </c>
      <c r="G318">
        <v>799</v>
      </c>
      <c r="H318" s="6">
        <v>63</v>
      </c>
      <c r="I318">
        <v>4</v>
      </c>
      <c r="J318">
        <v>151</v>
      </c>
    </row>
    <row r="319" spans="1:10">
      <c r="A319" t="s">
        <v>678</v>
      </c>
      <c r="B319" t="s">
        <v>679</v>
      </c>
      <c r="C319" t="str">
        <f>LEFT(B319,FIND(" ",B319)-1)</f>
        <v>LUNAGARIYAÂ®,</v>
      </c>
      <c r="D319" t="str">
        <f>TRIM(RIGHT(E319,LEN(E319)-FIND("@",SUBSTITUTE(E319,"|","@",LEN(E319)-LEN(SUBSTITUTE(E319,"|",""))))))</f>
        <v>RemoteControls</v>
      </c>
      <c r="E319" t="s">
        <v>126</v>
      </c>
      <c r="F319">
        <v>247</v>
      </c>
      <c r="G319">
        <v>399</v>
      </c>
      <c r="H319" s="6">
        <v>38</v>
      </c>
      <c r="I319">
        <v>3.9</v>
      </c>
      <c r="J319">
        <v>200</v>
      </c>
    </row>
    <row r="320" spans="1:10">
      <c r="A320" t="s">
        <v>680</v>
      </c>
      <c r="B320" t="s">
        <v>681</v>
      </c>
      <c r="C320" t="str">
        <f>LEFT(B320,FIND(" ",B320)-1)</f>
        <v>7SEVENÂ®</v>
      </c>
      <c r="D320" t="str">
        <f>TRIM(RIGHT(E320,LEN(E320)-FIND("@",SUBSTITUTE(E320,"|","@",LEN(E320)-LEN(SUBSTITUTE(E320,"|",""))))))</f>
        <v>RemoteControls</v>
      </c>
      <c r="E320" t="s">
        <v>126</v>
      </c>
      <c r="F320" s="1">
        <v>1369</v>
      </c>
      <c r="G320" s="1">
        <v>2999</v>
      </c>
      <c r="H320" s="6">
        <v>54</v>
      </c>
      <c r="I320">
        <v>3.3</v>
      </c>
      <c r="J320">
        <v>227</v>
      </c>
    </row>
    <row r="321" spans="1:10">
      <c r="A321" t="s">
        <v>682</v>
      </c>
      <c r="B321" t="s">
        <v>683</v>
      </c>
      <c r="C321" t="str">
        <f>LEFT(B321,FIND(" ",B321)-1)</f>
        <v>PRUSHTI</v>
      </c>
      <c r="D321" t="str">
        <f>TRIM(RIGHT(E321,LEN(E321)-FIND("@",SUBSTITUTE(E321,"|","@",LEN(E321)-LEN(SUBSTITUTE(E321,"|",""))))))</f>
        <v>RemoteControls</v>
      </c>
      <c r="E321" t="s">
        <v>126</v>
      </c>
      <c r="F321">
        <v>199</v>
      </c>
      <c r="G321">
        <v>499</v>
      </c>
      <c r="H321" s="6">
        <v>6</v>
      </c>
      <c r="I321">
        <v>3.8</v>
      </c>
      <c r="J321">
        <v>538</v>
      </c>
    </row>
    <row r="322" spans="1:10">
      <c r="A322" t="s">
        <v>684</v>
      </c>
      <c r="B322" t="s">
        <v>685</v>
      </c>
      <c r="C322" t="str">
        <f>LEFT(B322,FIND(" ",B322)-1)</f>
        <v>Aine</v>
      </c>
      <c r="D322" t="str">
        <f>TRIM(RIGHT(E322,LEN(E322)-FIND("@",SUBSTITUTE(E322,"|","@",LEN(E322)-LEN(SUBSTITUTE(E322,"|",""))))))</f>
        <v>HDMICables</v>
      </c>
      <c r="E322" t="s">
        <v>50</v>
      </c>
      <c r="F322">
        <v>299</v>
      </c>
      <c r="G322">
        <v>599</v>
      </c>
      <c r="H322" s="6">
        <v>5</v>
      </c>
      <c r="I322">
        <v>4</v>
      </c>
      <c r="J322">
        <v>171</v>
      </c>
    </row>
    <row r="323" spans="1:10">
      <c r="A323" t="s">
        <v>686</v>
      </c>
      <c r="B323" t="s">
        <v>687</v>
      </c>
      <c r="C323" t="str">
        <f>LEFT(B323,FIND(" ",B323)-1)</f>
        <v>Mi</v>
      </c>
      <c r="D323" t="str">
        <f>TRIM(RIGHT(E323,LEN(E323)-FIND("@",SUBSTITUTE(E323,"|","@",LEN(E323)-LEN(SUBSTITUTE(E323,"|",""))))))</f>
        <v>SmartTelevisions</v>
      </c>
      <c r="E323" t="s">
        <v>60</v>
      </c>
      <c r="F323" s="1">
        <v>14999</v>
      </c>
      <c r="G323" s="1">
        <v>14999</v>
      </c>
      <c r="H323" s="6">
        <v>0</v>
      </c>
      <c r="I323">
        <v>4.3</v>
      </c>
      <c r="J323" s="1">
        <v>27508</v>
      </c>
    </row>
    <row r="324" spans="1:10">
      <c r="A324" t="s">
        <v>688</v>
      </c>
      <c r="B324" t="s">
        <v>689</v>
      </c>
      <c r="C324" t="str">
        <f>LEFT(B324,FIND(" ",B324)-1)</f>
        <v>Storite</v>
      </c>
      <c r="D324" t="str">
        <f>TRIM(RIGHT(E324,LEN(E324)-FIND("@",SUBSTITUTE(E324,"|","@",LEN(E324)-LEN(SUBSTITUTE(E324,"|",""))))))</f>
        <v>USBCables</v>
      </c>
      <c r="E324" t="s">
        <v>23</v>
      </c>
      <c r="F324">
        <v>299</v>
      </c>
      <c r="G324">
        <v>699</v>
      </c>
      <c r="H324" s="6">
        <v>57</v>
      </c>
      <c r="I324">
        <v>3.9</v>
      </c>
      <c r="J324" s="1">
        <v>1454</v>
      </c>
    </row>
    <row r="325" spans="1:10">
      <c r="A325" t="s">
        <v>690</v>
      </c>
      <c r="B325" t="s">
        <v>691</v>
      </c>
      <c r="C325" t="str">
        <f>LEFT(B325,FIND(" ",B325)-1)</f>
        <v>TCL</v>
      </c>
      <c r="D325" t="str">
        <f>TRIM(RIGHT(E325,LEN(E325)-FIND("@",SUBSTITUTE(E325,"|","@",LEN(E325)-LEN(SUBSTITUTE(E325,"|",""))))))</f>
        <v>SmartTelevisions</v>
      </c>
      <c r="E325" t="s">
        <v>60</v>
      </c>
      <c r="F325" s="1">
        <v>24990</v>
      </c>
      <c r="G325" s="1">
        <v>51990</v>
      </c>
      <c r="H325" s="6">
        <v>52</v>
      </c>
      <c r="I325">
        <v>4.2</v>
      </c>
      <c r="J325" s="1">
        <v>2951</v>
      </c>
    </row>
    <row r="326" spans="1:10">
      <c r="A326" t="s">
        <v>692</v>
      </c>
      <c r="B326" t="s">
        <v>693</v>
      </c>
      <c r="C326" t="str">
        <f>LEFT(B326,FIND(" ",B326)-1)</f>
        <v>REDTECH</v>
      </c>
      <c r="D326" t="str">
        <f>TRIM(RIGHT(E326,LEN(E326)-FIND("@",SUBSTITUTE(E326,"|","@",LEN(E326)-LEN(SUBSTITUTE(E326,"|",""))))))</f>
        <v>USBCables</v>
      </c>
      <c r="E326" t="s">
        <v>23</v>
      </c>
      <c r="F326">
        <v>249</v>
      </c>
      <c r="G326">
        <v>999</v>
      </c>
      <c r="H326" s="6">
        <v>75</v>
      </c>
      <c r="I326">
        <v>5</v>
      </c>
    </row>
    <row r="327" spans="1:10">
      <c r="A327" t="s">
        <v>694</v>
      </c>
      <c r="B327" t="s">
        <v>695</v>
      </c>
      <c r="C327" t="str">
        <f>LEFT(B327,FIND(" ",B327)-1)</f>
        <v>OnePlus</v>
      </c>
      <c r="D327" t="str">
        <f>TRIM(RIGHT(E327,LEN(E327)-FIND("@",SUBSTITUTE(E327,"|","@",LEN(E327)-LEN(SUBSTITUTE(E327,"|",""))))))</f>
        <v>SmartTelevisions</v>
      </c>
      <c r="E327" t="s">
        <v>60</v>
      </c>
      <c r="F327" s="1">
        <v>61999</v>
      </c>
      <c r="G327" s="1">
        <v>69999</v>
      </c>
      <c r="H327" s="6">
        <v>11</v>
      </c>
      <c r="I327">
        <v>4.0999999999999996</v>
      </c>
      <c r="J327" s="1">
        <v>6753</v>
      </c>
    </row>
    <row r="328" spans="1:10">
      <c r="A328" t="s">
        <v>696</v>
      </c>
      <c r="B328" t="s">
        <v>697</v>
      </c>
      <c r="C328" t="str">
        <f>LEFT(B328,FIND(" ",B328)-1)</f>
        <v>AmazonBasics</v>
      </c>
      <c r="D328" t="str">
        <f>TRIM(RIGHT(E328,LEN(E328)-FIND("@",SUBSTITUTE(E328,"|","@",LEN(E328)-LEN(SUBSTITUTE(E328,"|",""))))))</f>
        <v>SmartTelevisions</v>
      </c>
      <c r="E328" t="s">
        <v>60</v>
      </c>
      <c r="F328" s="1">
        <v>24499</v>
      </c>
      <c r="G328" s="1">
        <v>50000</v>
      </c>
      <c r="H328" s="6">
        <v>51</v>
      </c>
      <c r="I328">
        <v>3.9</v>
      </c>
      <c r="J328" s="1">
        <v>3518</v>
      </c>
    </row>
    <row r="329" spans="1:10">
      <c r="A329" t="s">
        <v>698</v>
      </c>
      <c r="B329" t="s">
        <v>699</v>
      </c>
      <c r="C329" t="str">
        <f>LEFT(B329,FIND(" ",B329)-1)</f>
        <v>Kodak</v>
      </c>
      <c r="D329" t="str">
        <f>TRIM(RIGHT(E329,LEN(E329)-FIND("@",SUBSTITUTE(E329,"|","@",LEN(E329)-LEN(SUBSTITUTE(E329,"|",""))))))</f>
        <v>SmartTelevisions</v>
      </c>
      <c r="E329" t="s">
        <v>60</v>
      </c>
      <c r="F329" s="1">
        <v>10499</v>
      </c>
      <c r="G329" s="1">
        <v>19499</v>
      </c>
      <c r="H329" s="6">
        <v>46</v>
      </c>
      <c r="I329">
        <v>4.2</v>
      </c>
      <c r="J329" s="1">
        <v>1510</v>
      </c>
    </row>
    <row r="330" spans="1:10">
      <c r="A330" t="s">
        <v>700</v>
      </c>
      <c r="B330" t="s">
        <v>701</v>
      </c>
      <c r="C330" t="str">
        <f>LEFT(B330,FIND(" ",B330)-1)</f>
        <v>Synqe</v>
      </c>
      <c r="D330" t="str">
        <f>TRIM(RIGHT(E330,LEN(E330)-FIND("@",SUBSTITUTE(E330,"|","@",LEN(E330)-LEN(SUBSTITUTE(E330,"|",""))))))</f>
        <v>USBCables</v>
      </c>
      <c r="E330" t="s">
        <v>23</v>
      </c>
      <c r="F330">
        <v>349</v>
      </c>
      <c r="G330">
        <v>999</v>
      </c>
      <c r="H330" s="6">
        <v>65</v>
      </c>
      <c r="I330">
        <v>4.3</v>
      </c>
      <c r="J330">
        <v>838</v>
      </c>
    </row>
    <row r="331" spans="1:10">
      <c r="A331" t="s">
        <v>702</v>
      </c>
      <c r="B331" t="s">
        <v>703</v>
      </c>
      <c r="C331" t="str">
        <f>LEFT(B331,FIND(" ",B331)-1)</f>
        <v>Airtel</v>
      </c>
      <c r="D331" t="str">
        <f>TRIM(RIGHT(E331,LEN(E331)-FIND("@",SUBSTITUTE(E331,"|","@",LEN(E331)-LEN(SUBSTITUTE(E331,"|",""))))))</f>
        <v>RemoteControls</v>
      </c>
      <c r="E331" t="s">
        <v>126</v>
      </c>
      <c r="F331">
        <v>197</v>
      </c>
      <c r="G331">
        <v>499</v>
      </c>
      <c r="H331" s="6">
        <v>61</v>
      </c>
      <c r="I331">
        <v>3.8</v>
      </c>
      <c r="J331">
        <v>136</v>
      </c>
    </row>
    <row r="332" spans="1:10">
      <c r="A332" t="s">
        <v>704</v>
      </c>
      <c r="B332" t="s">
        <v>705</v>
      </c>
      <c r="C332" t="str">
        <f>LEFT(B332,FIND(" ",B332)-1)</f>
        <v>Airtel</v>
      </c>
      <c r="D332" t="str">
        <f>TRIM(RIGHT(E332,LEN(E332)-FIND("@",SUBSTITUTE(E332,"|","@",LEN(E332)-LEN(SUBSTITUTE(E332,"|",""))))))</f>
        <v>SatelliteReceivers</v>
      </c>
      <c r="E332" t="s">
        <v>488</v>
      </c>
      <c r="F332" s="1">
        <v>1299</v>
      </c>
      <c r="G332" s="1">
        <v>2499</v>
      </c>
      <c r="H332" s="6">
        <v>48</v>
      </c>
      <c r="I332">
        <v>4.3</v>
      </c>
      <c r="J332">
        <v>301</v>
      </c>
    </row>
    <row r="333" spans="1:10">
      <c r="A333" t="s">
        <v>706</v>
      </c>
      <c r="B333" t="s">
        <v>707</v>
      </c>
      <c r="C333" t="str">
        <f>LEFT(B333,FIND(" ",B333)-1)</f>
        <v>ESR</v>
      </c>
      <c r="D333" t="str">
        <f>TRIM(RIGHT(E333,LEN(E333)-FIND("@",SUBSTITUTE(E333,"|","@",LEN(E333)-LEN(SUBSTITUTE(E333,"|",""))))))</f>
        <v>USBCables</v>
      </c>
      <c r="E333" t="s">
        <v>23</v>
      </c>
      <c r="F333" s="1">
        <v>1519</v>
      </c>
      <c r="G333" s="1">
        <v>1899</v>
      </c>
      <c r="H333" s="6">
        <v>2</v>
      </c>
      <c r="I333">
        <v>4.4000000000000004</v>
      </c>
      <c r="J333" s="1">
        <v>19763</v>
      </c>
    </row>
    <row r="334" spans="1:10">
      <c r="A334" t="s">
        <v>708</v>
      </c>
      <c r="B334" t="s">
        <v>709</v>
      </c>
      <c r="C334" t="str">
        <f>LEFT(B334,FIND(" ",B334)-1)</f>
        <v>MI</v>
      </c>
      <c r="D334" t="str">
        <f>TRIM(RIGHT(E334,LEN(E334)-FIND("@",SUBSTITUTE(E334,"|","@",LEN(E334)-LEN(SUBSTITUTE(E334,"|",""))))))</f>
        <v>SmartTelevisions</v>
      </c>
      <c r="E334" t="s">
        <v>60</v>
      </c>
      <c r="F334" s="1">
        <v>46999</v>
      </c>
      <c r="G334" s="1">
        <v>69999</v>
      </c>
      <c r="H334" s="6">
        <v>33</v>
      </c>
      <c r="I334">
        <v>4.3</v>
      </c>
      <c r="J334" s="1">
        <v>21252</v>
      </c>
    </row>
    <row r="335" spans="1:10">
      <c r="A335" t="s">
        <v>710</v>
      </c>
      <c r="B335" t="s">
        <v>711</v>
      </c>
      <c r="C335" t="str">
        <f>LEFT(B335,FIND(" ",B335)-1)</f>
        <v>Storite</v>
      </c>
      <c r="D335" t="str">
        <f>TRIM(RIGHT(E335,LEN(E335)-FIND("@",SUBSTITUTE(E335,"|","@",LEN(E335)-LEN(SUBSTITUTE(E335,"|",""))))))</f>
        <v>USBCables</v>
      </c>
      <c r="E335" t="s">
        <v>23</v>
      </c>
      <c r="F335">
        <v>299</v>
      </c>
      <c r="G335">
        <v>799</v>
      </c>
      <c r="H335" s="6">
        <v>63</v>
      </c>
      <c r="I335">
        <v>4.3</v>
      </c>
      <c r="J335" s="1">
        <v>1902</v>
      </c>
    </row>
    <row r="336" spans="1:10">
      <c r="A336" t="s">
        <v>712</v>
      </c>
      <c r="B336" t="s">
        <v>713</v>
      </c>
      <c r="C336" t="str">
        <f>LEFT(B336,FIND(" ",B336)-1)</f>
        <v>Fire-Boltt</v>
      </c>
      <c r="D336" t="str">
        <f>TRIM(RIGHT(E336,LEN(E336)-FIND("@",SUBSTITUTE(E336,"|","@",LEN(E336)-LEN(SUBSTITUTE(E336,"|",""))))))</f>
        <v>SmartWatches</v>
      </c>
      <c r="E336" t="s">
        <v>714</v>
      </c>
      <c r="F336" s="1">
        <v>1799</v>
      </c>
      <c r="G336" s="1">
        <v>19999</v>
      </c>
      <c r="H336" s="6">
        <v>91</v>
      </c>
      <c r="I336">
        <v>4.2</v>
      </c>
      <c r="J336" s="1">
        <v>13937</v>
      </c>
    </row>
    <row r="337" spans="1:10">
      <c r="A337" t="s">
        <v>715</v>
      </c>
      <c r="B337" t="s">
        <v>716</v>
      </c>
      <c r="C337" t="str">
        <f>LEFT(B337,FIND(" ",B337)-1)</f>
        <v>Fire-Boltt</v>
      </c>
      <c r="D337" t="str">
        <f>TRIM(RIGHT(E337,LEN(E337)-FIND("@",SUBSTITUTE(E337,"|","@",LEN(E337)-LEN(SUBSTITUTE(E337,"|",""))))))</f>
        <v>SmartWatches</v>
      </c>
      <c r="E337" t="s">
        <v>714</v>
      </c>
      <c r="F337" s="1">
        <v>1998</v>
      </c>
      <c r="G337" s="1">
        <v>9999</v>
      </c>
      <c r="H337" s="6">
        <v>8</v>
      </c>
      <c r="I337">
        <v>4.3</v>
      </c>
      <c r="J337" s="1">
        <v>27696</v>
      </c>
    </row>
    <row r="338" spans="1:10">
      <c r="A338" t="s">
        <v>717</v>
      </c>
      <c r="B338" t="s">
        <v>718</v>
      </c>
      <c r="C338" t="str">
        <f>LEFT(B338,FIND(" ",B338)-1)</f>
        <v>boAt</v>
      </c>
      <c r="D338" t="str">
        <f>TRIM(RIGHT(E338,LEN(E338)-FIND("@",SUBSTITUTE(E338,"|","@",LEN(E338)-LEN(SUBSTITUTE(E338,"|",""))))))</f>
        <v>SmartWatches</v>
      </c>
      <c r="E338" t="s">
        <v>714</v>
      </c>
      <c r="F338" s="1">
        <v>1999</v>
      </c>
      <c r="G338" s="1">
        <v>7990</v>
      </c>
      <c r="H338" s="6">
        <v>75</v>
      </c>
      <c r="I338">
        <v>3.8</v>
      </c>
      <c r="J338" s="1">
        <v>17831</v>
      </c>
    </row>
    <row r="339" spans="1:10">
      <c r="A339" t="s">
        <v>719</v>
      </c>
      <c r="B339" t="s">
        <v>720</v>
      </c>
      <c r="C339" t="str">
        <f>LEFT(B339,FIND(" ",B339)-1)</f>
        <v>MI</v>
      </c>
      <c r="D339" t="str">
        <f>TRIM(RIGHT(E339,LEN(E339)-FIND("@",SUBSTITUTE(E339,"|","@",LEN(E339)-LEN(SUBSTITUTE(E339,"|",""))))))</f>
        <v>PowerBanks</v>
      </c>
      <c r="E339" t="s">
        <v>721</v>
      </c>
      <c r="F339" s="1">
        <v>2049</v>
      </c>
      <c r="G339" s="1">
        <v>2199</v>
      </c>
      <c r="H339" s="6">
        <v>7</v>
      </c>
      <c r="I339">
        <v>4.3</v>
      </c>
      <c r="J339" t="s">
        <v>722</v>
      </c>
    </row>
    <row r="340" spans="1:10">
      <c r="A340" t="s">
        <v>723</v>
      </c>
      <c r="B340" t="s">
        <v>724</v>
      </c>
      <c r="C340" t="str">
        <f>LEFT(B340,FIND(" ",B340)-1)</f>
        <v>Redmi</v>
      </c>
      <c r="D340" t="str">
        <f>TRIM(RIGHT(E340,LEN(E340)-FIND("@",SUBSTITUTE(E340,"|","@",LEN(E340)-LEN(SUBSTITUTE(E340,"|",""))))))</f>
        <v>Smartphones</v>
      </c>
      <c r="E340" t="s">
        <v>725</v>
      </c>
      <c r="F340" s="1">
        <v>6499</v>
      </c>
      <c r="G340" s="1">
        <v>8999</v>
      </c>
      <c r="H340" s="6">
        <v>28</v>
      </c>
      <c r="I340">
        <v>4</v>
      </c>
      <c r="J340" s="1">
        <v>7807</v>
      </c>
    </row>
    <row r="341" spans="1:10">
      <c r="A341" t="s">
        <v>726</v>
      </c>
      <c r="B341" t="s">
        <v>727</v>
      </c>
      <c r="C341" t="str">
        <f>LEFT(B341,FIND(" ",B341)-1)</f>
        <v>OnePlus</v>
      </c>
      <c r="D341" t="str">
        <f>TRIM(RIGHT(E341,LEN(E341)-FIND("@",SUBSTITUTE(E341,"|","@",LEN(E341)-LEN(SUBSTITUTE(E341,"|",""))))))</f>
        <v>Smartphones</v>
      </c>
      <c r="E341" t="s">
        <v>725</v>
      </c>
      <c r="F341" s="1">
        <v>28999</v>
      </c>
      <c r="G341" s="1">
        <v>28999</v>
      </c>
      <c r="H341" s="6">
        <v>0</v>
      </c>
      <c r="I341">
        <v>4.3</v>
      </c>
      <c r="J341" s="1">
        <v>17415</v>
      </c>
    </row>
    <row r="342" spans="1:10">
      <c r="A342" t="s">
        <v>728</v>
      </c>
      <c r="B342" t="s">
        <v>729</v>
      </c>
      <c r="C342" t="str">
        <f>LEFT(B342,FIND(" ",B342)-1)</f>
        <v>OnePlus</v>
      </c>
      <c r="D342" t="str">
        <f>TRIM(RIGHT(E342,LEN(E342)-FIND("@",SUBSTITUTE(E342,"|","@",LEN(E342)-LEN(SUBSTITUTE(E342,"|",""))))))</f>
        <v>Smartphones</v>
      </c>
      <c r="E342" t="s">
        <v>725</v>
      </c>
      <c r="F342" s="1">
        <v>28999</v>
      </c>
      <c r="G342" s="1">
        <v>28999</v>
      </c>
      <c r="H342" s="6">
        <v>0</v>
      </c>
      <c r="I342">
        <v>4.3</v>
      </c>
      <c r="J342" s="1">
        <v>17415</v>
      </c>
    </row>
    <row r="343" spans="1:10">
      <c r="A343" t="s">
        <v>730</v>
      </c>
      <c r="B343" t="s">
        <v>731</v>
      </c>
      <c r="C343" t="str">
        <f>LEFT(B343,FIND(" ",B343)-1)</f>
        <v>Redmi</v>
      </c>
      <c r="D343" t="str">
        <f>TRIM(RIGHT(E343,LEN(E343)-FIND("@",SUBSTITUTE(E343,"|","@",LEN(E343)-LEN(SUBSTITUTE(E343,"|",""))))))</f>
        <v>Smartphones</v>
      </c>
      <c r="E343" t="s">
        <v>725</v>
      </c>
      <c r="F343" s="1">
        <v>6499</v>
      </c>
      <c r="G343" s="1">
        <v>8999</v>
      </c>
      <c r="H343" s="6">
        <v>28</v>
      </c>
      <c r="I343">
        <v>4</v>
      </c>
      <c r="J343" s="1">
        <v>7807</v>
      </c>
    </row>
    <row r="344" spans="1:10">
      <c r="A344" t="s">
        <v>732</v>
      </c>
      <c r="B344" t="s">
        <v>733</v>
      </c>
      <c r="C344" t="str">
        <f>LEFT(B344,FIND(" ",B344)-1)</f>
        <v>Redmi</v>
      </c>
      <c r="D344" t="str">
        <f>TRIM(RIGHT(E344,LEN(E344)-FIND("@",SUBSTITUTE(E344,"|","@",LEN(E344)-LEN(SUBSTITUTE(E344,"|",""))))))</f>
        <v>Smartphones</v>
      </c>
      <c r="E344" t="s">
        <v>725</v>
      </c>
      <c r="F344" s="1">
        <v>6499</v>
      </c>
      <c r="G344" s="1">
        <v>8999</v>
      </c>
      <c r="H344" s="6">
        <v>28</v>
      </c>
      <c r="I344">
        <v>4</v>
      </c>
      <c r="J344" s="1">
        <v>7807</v>
      </c>
    </row>
    <row r="345" spans="1:10">
      <c r="A345" t="s">
        <v>734</v>
      </c>
      <c r="B345" t="s">
        <v>735</v>
      </c>
      <c r="C345" t="str">
        <f>LEFT(B345,FIND(" ",B345)-1)</f>
        <v>SanDisk</v>
      </c>
      <c r="D345" t="str">
        <f>TRIM(RIGHT(E345,LEN(E345)-FIND("@",SUBSTITUTE(E345,"|","@",LEN(E345)-LEN(SUBSTITUTE(E345,"|",""))))))</f>
        <v>MicroSD</v>
      </c>
      <c r="E345" t="s">
        <v>736</v>
      </c>
      <c r="F345">
        <v>569</v>
      </c>
      <c r="G345" s="1">
        <v>1000</v>
      </c>
      <c r="H345" s="6">
        <v>43</v>
      </c>
      <c r="I345">
        <v>4.4000000000000004</v>
      </c>
      <c r="J345" s="1">
        <v>67259</v>
      </c>
    </row>
    <row r="346" spans="1:10">
      <c r="A346" t="s">
        <v>737</v>
      </c>
      <c r="B346" t="s">
        <v>738</v>
      </c>
      <c r="C346" t="str">
        <f>LEFT(B346,FIND(" ",B346)-1)</f>
        <v>Noise</v>
      </c>
      <c r="D346" t="str">
        <f>TRIM(RIGHT(E346,LEN(E346)-FIND("@",SUBSTITUTE(E346,"|","@",LEN(E346)-LEN(SUBSTITUTE(E346,"|",""))))))</f>
        <v>SmartWatches</v>
      </c>
      <c r="E346" t="s">
        <v>714</v>
      </c>
      <c r="F346" s="1">
        <v>1898</v>
      </c>
      <c r="G346" s="1">
        <v>4999</v>
      </c>
      <c r="H346" s="6">
        <v>62</v>
      </c>
      <c r="I346">
        <v>4.0999999999999996</v>
      </c>
      <c r="J346" s="1">
        <v>10689</v>
      </c>
    </row>
    <row r="347" spans="1:10">
      <c r="A347" t="s">
        <v>739</v>
      </c>
      <c r="B347" t="s">
        <v>740</v>
      </c>
      <c r="C347" t="str">
        <f>LEFT(B347,FIND(" ",B347)-1)</f>
        <v>Nokia</v>
      </c>
      <c r="D347" t="str">
        <f>TRIM(RIGHT(E347,LEN(E347)-FIND("@",SUBSTITUTE(E347,"|","@",LEN(E347)-LEN(SUBSTITUTE(E347,"|",""))))))</f>
        <v>BasicMobiles</v>
      </c>
      <c r="E347" t="s">
        <v>741</v>
      </c>
      <c r="F347" s="1">
        <v>1299</v>
      </c>
      <c r="G347" s="1">
        <v>1599</v>
      </c>
      <c r="H347" s="6">
        <v>19</v>
      </c>
      <c r="I347">
        <v>4</v>
      </c>
      <c r="J347" t="s">
        <v>742</v>
      </c>
    </row>
    <row r="348" spans="1:10">
      <c r="A348" t="s">
        <v>743</v>
      </c>
      <c r="B348" t="s">
        <v>744</v>
      </c>
      <c r="C348" t="str">
        <f>LEFT(B348,FIND(" ",B348)-1)</f>
        <v>boAt</v>
      </c>
      <c r="D348" t="str">
        <f>TRIM(RIGHT(E348,LEN(E348)-FIND("@",SUBSTITUTE(E348,"|","@",LEN(E348)-LEN(SUBSTITUTE(E348,"|",""))))))</f>
        <v>SmartWatches</v>
      </c>
      <c r="E348" t="s">
        <v>714</v>
      </c>
      <c r="F348" s="1">
        <v>1499</v>
      </c>
      <c r="G348" s="1">
        <v>6990</v>
      </c>
      <c r="H348" s="6">
        <v>79</v>
      </c>
      <c r="I348">
        <v>3.9</v>
      </c>
      <c r="J348" s="1">
        <v>21796</v>
      </c>
    </row>
    <row r="349" spans="1:10">
      <c r="A349" t="s">
        <v>745</v>
      </c>
      <c r="B349" t="s">
        <v>746</v>
      </c>
      <c r="C349" t="str">
        <f>LEFT(B349,FIND(" ",B349)-1)</f>
        <v>JBL</v>
      </c>
      <c r="D349" t="str">
        <f>TRIM(RIGHT(E349,LEN(E349)-FIND("@",SUBSTITUTE(E349,"|","@",LEN(E349)-LEN(SUBSTITUTE(E349,"|",""))))))</f>
        <v>In-Ear</v>
      </c>
      <c r="E349" t="s">
        <v>747</v>
      </c>
      <c r="F349">
        <v>599</v>
      </c>
      <c r="G349">
        <v>999</v>
      </c>
      <c r="H349" s="6">
        <v>4</v>
      </c>
      <c r="I349">
        <v>4.0999999999999996</v>
      </c>
      <c r="J349" t="s">
        <v>748</v>
      </c>
    </row>
    <row r="350" spans="1:10">
      <c r="A350" t="s">
        <v>749</v>
      </c>
      <c r="B350" t="s">
        <v>750</v>
      </c>
      <c r="C350" t="str">
        <f>LEFT(B350,FIND(" ",B350)-1)</f>
        <v>Samsung</v>
      </c>
      <c r="D350" t="str">
        <f>TRIM(RIGHT(E350,LEN(E350)-FIND("@",SUBSTITUTE(E350,"|","@",LEN(E350)-LEN(SUBSTITUTE(E350,"|",""))))))</f>
        <v>Smartphones</v>
      </c>
      <c r="E350" t="s">
        <v>725</v>
      </c>
      <c r="F350" s="1">
        <v>9499</v>
      </c>
      <c r="G350" s="1">
        <v>11999</v>
      </c>
      <c r="H350" s="6">
        <v>21</v>
      </c>
      <c r="I350">
        <v>4.2</v>
      </c>
      <c r="J350">
        <v>284</v>
      </c>
    </row>
    <row r="351" spans="1:10">
      <c r="A351" t="s">
        <v>751</v>
      </c>
      <c r="B351" t="s">
        <v>752</v>
      </c>
      <c r="C351" t="str">
        <f>LEFT(B351,FIND(" ",B351)-1)</f>
        <v>PTron</v>
      </c>
      <c r="D351" t="str">
        <f>TRIM(RIGHT(E351,LEN(E351)-FIND("@",SUBSTITUTE(E351,"|","@",LEN(E351)-LEN(SUBSTITUTE(E351,"|",""))))))</f>
        <v>In-Ear</v>
      </c>
      <c r="E351" t="s">
        <v>747</v>
      </c>
      <c r="F351">
        <v>599</v>
      </c>
      <c r="G351" s="1">
        <v>2499</v>
      </c>
      <c r="H351" s="6">
        <v>76</v>
      </c>
      <c r="I351">
        <v>3.9</v>
      </c>
      <c r="J351" s="1">
        <v>58162</v>
      </c>
    </row>
    <row r="352" spans="1:10">
      <c r="A352" t="s">
        <v>753</v>
      </c>
      <c r="B352" t="s">
        <v>754</v>
      </c>
      <c r="C352" t="str">
        <f>LEFT(B352,FIND(" ",B352)-1)</f>
        <v>Redmi</v>
      </c>
      <c r="D352" t="str">
        <f>TRIM(RIGHT(E352,LEN(E352)-FIND("@",SUBSTITUTE(E352,"|","@",LEN(E352)-LEN(SUBSTITUTE(E352,"|",""))))))</f>
        <v>Smartphones</v>
      </c>
      <c r="E352" t="s">
        <v>725</v>
      </c>
      <c r="F352" s="1">
        <v>8999</v>
      </c>
      <c r="G352" s="1">
        <v>11999</v>
      </c>
      <c r="H352" s="6">
        <v>25</v>
      </c>
      <c r="I352">
        <v>4</v>
      </c>
      <c r="J352" s="1">
        <v>12796</v>
      </c>
    </row>
    <row r="353" spans="1:10">
      <c r="A353" t="s">
        <v>755</v>
      </c>
      <c r="B353" t="s">
        <v>756</v>
      </c>
      <c r="C353" t="str">
        <f>LEFT(B353,FIND(" ",B353)-1)</f>
        <v>pTron</v>
      </c>
      <c r="D353" t="str">
        <f>TRIM(RIGHT(E353,LEN(E353)-FIND("@",SUBSTITUTE(E353,"|","@",LEN(E353)-LEN(SUBSTITUTE(E353,"|",""))))))</f>
        <v>AutomobileChargers</v>
      </c>
      <c r="E353" t="s">
        <v>757</v>
      </c>
      <c r="F353">
        <v>349</v>
      </c>
      <c r="G353" s="1">
        <v>1299</v>
      </c>
      <c r="H353" s="6">
        <v>73</v>
      </c>
      <c r="I353">
        <v>4</v>
      </c>
      <c r="J353" s="1">
        <v>14282</v>
      </c>
    </row>
    <row r="354" spans="1:10">
      <c r="A354" t="s">
        <v>758</v>
      </c>
      <c r="B354" t="s">
        <v>759</v>
      </c>
      <c r="C354" t="str">
        <f>LEFT(B354,FIND(" ",B354)-1)</f>
        <v>boAt</v>
      </c>
      <c r="D354" t="str">
        <f>TRIM(RIGHT(E354,LEN(E354)-FIND("@",SUBSTITUTE(E354,"|","@",LEN(E354)-LEN(SUBSTITUTE(E354,"|",""))))))</f>
        <v>In-Ear</v>
      </c>
      <c r="E354" t="s">
        <v>747</v>
      </c>
      <c r="F354">
        <v>349</v>
      </c>
      <c r="G354">
        <v>999</v>
      </c>
      <c r="H354" s="6">
        <v>65</v>
      </c>
      <c r="I354">
        <v>4.0999999999999996</v>
      </c>
      <c r="J354" t="s">
        <v>760</v>
      </c>
    </row>
    <row r="355" spans="1:10">
      <c r="A355" t="s">
        <v>761</v>
      </c>
      <c r="B355" t="s">
        <v>762</v>
      </c>
      <c r="C355" t="str">
        <f>LEFT(B355,FIND(" ",B355)-1)</f>
        <v>SanDisk</v>
      </c>
      <c r="D355" t="str">
        <f>TRIM(RIGHT(E355,LEN(E355)-FIND("@",SUBSTITUTE(E355,"|","@",LEN(E355)-LEN(SUBSTITUTE(E355,"|",""))))))</f>
        <v>MicroSD</v>
      </c>
      <c r="E355" t="s">
        <v>736</v>
      </c>
      <c r="F355">
        <v>959</v>
      </c>
      <c r="G355" s="1">
        <v>1800</v>
      </c>
      <c r="H355" s="6">
        <v>47</v>
      </c>
      <c r="I355">
        <v>4.4000000000000004</v>
      </c>
      <c r="J355" s="1">
        <v>67259</v>
      </c>
    </row>
    <row r="356" spans="1:10">
      <c r="A356" t="s">
        <v>763</v>
      </c>
      <c r="B356" t="s">
        <v>764</v>
      </c>
      <c r="C356" t="str">
        <f>LEFT(B356,FIND(" ",B356)-1)</f>
        <v>Samsung</v>
      </c>
      <c r="D356" t="str">
        <f>TRIM(RIGHT(E356,LEN(E356)-FIND("@",SUBSTITUTE(E356,"|","@",LEN(E356)-LEN(SUBSTITUTE(E356,"|",""))))))</f>
        <v>Smartphones</v>
      </c>
      <c r="E356" t="s">
        <v>725</v>
      </c>
      <c r="F356" s="1">
        <v>9499</v>
      </c>
      <c r="G356" s="1">
        <v>11999</v>
      </c>
      <c r="H356" s="6">
        <v>21</v>
      </c>
      <c r="I356">
        <v>4.2</v>
      </c>
      <c r="J356">
        <v>284</v>
      </c>
    </row>
    <row r="357" spans="1:10">
      <c r="A357" t="s">
        <v>765</v>
      </c>
      <c r="B357" t="s">
        <v>766</v>
      </c>
      <c r="C357" t="str">
        <f>LEFT(B357,FIND(" ",B357)-1)</f>
        <v>MI</v>
      </c>
      <c r="D357" t="str">
        <f>TRIM(RIGHT(E357,LEN(E357)-FIND("@",SUBSTITUTE(E357,"|","@",LEN(E357)-LEN(SUBSTITUTE(E357,"|",""))))))</f>
        <v>PowerBanks</v>
      </c>
      <c r="E357" t="s">
        <v>721</v>
      </c>
      <c r="F357" s="1">
        <v>1499</v>
      </c>
      <c r="G357" s="1">
        <v>2499</v>
      </c>
      <c r="H357" s="6">
        <v>4</v>
      </c>
      <c r="I357">
        <v>4.3</v>
      </c>
      <c r="J357" s="1">
        <v>15970</v>
      </c>
    </row>
    <row r="358" spans="1:10">
      <c r="A358" t="s">
        <v>767</v>
      </c>
      <c r="B358" t="s">
        <v>768</v>
      </c>
      <c r="C358" t="str">
        <f>LEFT(B358,FIND(" ",B358)-1)</f>
        <v>Mi</v>
      </c>
      <c r="D358" t="str">
        <f>TRIM(RIGHT(E358,LEN(E358)-FIND("@",SUBSTITUTE(E358,"|","@",LEN(E358)-LEN(SUBSTITUTE(E358,"|",""))))))</f>
        <v>PowerBanks</v>
      </c>
      <c r="E358" t="s">
        <v>721</v>
      </c>
      <c r="F358" s="1">
        <v>1149</v>
      </c>
      <c r="G358" s="1">
        <v>2199</v>
      </c>
      <c r="H358" s="6">
        <v>48</v>
      </c>
      <c r="I358">
        <v>4.3</v>
      </c>
      <c r="J358" t="s">
        <v>722</v>
      </c>
    </row>
    <row r="359" spans="1:10">
      <c r="A359" t="s">
        <v>769</v>
      </c>
      <c r="B359" t="s">
        <v>770</v>
      </c>
      <c r="C359" t="str">
        <f>LEFT(B359,FIND(" ",B359)-1)</f>
        <v>ELV</v>
      </c>
      <c r="D359" t="str">
        <f>TRIM(RIGHT(E359,LEN(E359)-FIND("@",SUBSTITUTE(E359,"|","@",LEN(E359)-LEN(SUBSTITUTE(E359,"|",""))))))</f>
        <v>Cradles</v>
      </c>
      <c r="E359" t="s">
        <v>771</v>
      </c>
      <c r="F359">
        <v>349</v>
      </c>
      <c r="G359">
        <v>999</v>
      </c>
      <c r="H359" s="6">
        <v>65</v>
      </c>
      <c r="I359">
        <v>3.9</v>
      </c>
      <c r="J359" s="1">
        <v>46399</v>
      </c>
    </row>
    <row r="360" spans="1:10">
      <c r="A360" t="s">
        <v>772</v>
      </c>
      <c r="B360" t="s">
        <v>773</v>
      </c>
      <c r="C360" t="str">
        <f>LEFT(B360,FIND(" ",B360)-1)</f>
        <v>Samsung</v>
      </c>
      <c r="D360" t="str">
        <f>TRIM(RIGHT(E360,LEN(E360)-FIND("@",SUBSTITUTE(E360,"|","@",LEN(E360)-LEN(SUBSTITUTE(E360,"|",""))))))</f>
        <v>WallChargers</v>
      </c>
      <c r="E360" t="s">
        <v>774</v>
      </c>
      <c r="F360" s="1">
        <v>1219</v>
      </c>
      <c r="G360" s="1">
        <v>1699</v>
      </c>
      <c r="H360" s="6">
        <v>28</v>
      </c>
      <c r="I360">
        <v>4.4000000000000004</v>
      </c>
      <c r="J360" s="1">
        <v>8891</v>
      </c>
    </row>
    <row r="361" spans="1:10">
      <c r="A361" t="s">
        <v>775</v>
      </c>
      <c r="B361" t="s">
        <v>776</v>
      </c>
      <c r="C361" t="str">
        <f>LEFT(B361,FIND(" ",B361)-1)</f>
        <v>Noise</v>
      </c>
      <c r="D361" t="str">
        <f>TRIM(RIGHT(E361,LEN(E361)-FIND("@",SUBSTITUTE(E361,"|","@",LEN(E361)-LEN(SUBSTITUTE(E361,"|",""))))))</f>
        <v>SmartWatches</v>
      </c>
      <c r="E361" t="s">
        <v>714</v>
      </c>
      <c r="F361" s="1">
        <v>1599</v>
      </c>
      <c r="G361" s="1">
        <v>3999</v>
      </c>
      <c r="H361" s="6">
        <v>6</v>
      </c>
      <c r="I361">
        <v>4</v>
      </c>
      <c r="J361" s="1">
        <v>30254</v>
      </c>
    </row>
    <row r="362" spans="1:10">
      <c r="A362" t="s">
        <v>777</v>
      </c>
      <c r="B362" t="s">
        <v>778</v>
      </c>
      <c r="C362" t="str">
        <f>LEFT(B362,FIND(" ",B362)-1)</f>
        <v>Fire-Boltt</v>
      </c>
      <c r="D362" t="str">
        <f>TRIM(RIGHT(E362,LEN(E362)-FIND("@",SUBSTITUTE(E362,"|","@",LEN(E362)-LEN(SUBSTITUTE(E362,"|",""))))))</f>
        <v>SmartWatches</v>
      </c>
      <c r="E362" t="s">
        <v>714</v>
      </c>
      <c r="F362" s="1">
        <v>1499</v>
      </c>
      <c r="G362" s="1">
        <v>7999</v>
      </c>
      <c r="H362" s="6">
        <v>81</v>
      </c>
      <c r="I362">
        <v>4.2</v>
      </c>
      <c r="J362" s="1">
        <v>22636</v>
      </c>
    </row>
    <row r="363" spans="1:10">
      <c r="A363" t="s">
        <v>779</v>
      </c>
      <c r="B363" t="s">
        <v>780</v>
      </c>
      <c r="C363" t="str">
        <f>LEFT(B363,FIND(" ",B363)-1)</f>
        <v>Samsung</v>
      </c>
      <c r="D363" t="str">
        <f>TRIM(RIGHT(E363,LEN(E363)-FIND("@",SUBSTITUTE(E363,"|","@",LEN(E363)-LEN(SUBSTITUTE(E363,"|",""))))))</f>
        <v>Smartphones</v>
      </c>
      <c r="E363" t="s">
        <v>725</v>
      </c>
      <c r="F363" s="1">
        <v>18499</v>
      </c>
      <c r="G363" s="1">
        <v>25999</v>
      </c>
      <c r="H363" s="6">
        <v>29</v>
      </c>
      <c r="I363">
        <v>4.0999999999999996</v>
      </c>
      <c r="J363" s="1">
        <v>22318</v>
      </c>
    </row>
    <row r="364" spans="1:10">
      <c r="A364" t="s">
        <v>781</v>
      </c>
      <c r="B364" t="s">
        <v>782</v>
      </c>
      <c r="C364" t="str">
        <f>LEFT(B364,FIND(" ",B364)-1)</f>
        <v>SanDisk</v>
      </c>
      <c r="D364" t="str">
        <f>TRIM(RIGHT(E364,LEN(E364)-FIND("@",SUBSTITUTE(E364,"|","@",LEN(E364)-LEN(SUBSTITUTE(E364,"|",""))))))</f>
        <v>MicroSD</v>
      </c>
      <c r="E364" t="s">
        <v>736</v>
      </c>
      <c r="F364">
        <v>369</v>
      </c>
      <c r="G364">
        <v>700</v>
      </c>
      <c r="H364" s="6">
        <v>47</v>
      </c>
      <c r="I364">
        <v>4.4000000000000004</v>
      </c>
      <c r="J364" s="1">
        <v>67259</v>
      </c>
    </row>
    <row r="365" spans="1:10">
      <c r="A365" t="s">
        <v>783</v>
      </c>
      <c r="B365" t="s">
        <v>784</v>
      </c>
      <c r="C365" t="str">
        <f>LEFT(B365,FIND(" ",B365)-1)</f>
        <v>Samsung</v>
      </c>
      <c r="D365" t="str">
        <f>TRIM(RIGHT(E365,LEN(E365)-FIND("@",SUBSTITUTE(E365,"|","@",LEN(E365)-LEN(SUBSTITUTE(E365,"|",""))))))</f>
        <v>Smartphones</v>
      </c>
      <c r="E365" t="s">
        <v>725</v>
      </c>
      <c r="F365" s="1">
        <v>12999</v>
      </c>
      <c r="G365" s="1">
        <v>17999</v>
      </c>
      <c r="H365" s="6">
        <v>28</v>
      </c>
      <c r="I365">
        <v>4.0999999999999996</v>
      </c>
      <c r="J365" s="1">
        <v>18998</v>
      </c>
    </row>
    <row r="366" spans="1:10">
      <c r="A366" t="s">
        <v>785</v>
      </c>
      <c r="B366" t="s">
        <v>713</v>
      </c>
      <c r="C366" t="str">
        <f>LEFT(B366,FIND(" ",B366)-1)</f>
        <v>Fire-Boltt</v>
      </c>
      <c r="D366" t="str">
        <f>TRIM(RIGHT(E366,LEN(E366)-FIND("@",SUBSTITUTE(E366,"|","@",LEN(E366)-LEN(SUBSTITUTE(E366,"|",""))))))</f>
        <v>SmartWatches</v>
      </c>
      <c r="E366" t="s">
        <v>714</v>
      </c>
      <c r="F366" s="1">
        <v>1799</v>
      </c>
      <c r="G366" s="1">
        <v>19999</v>
      </c>
      <c r="H366" s="6">
        <v>91</v>
      </c>
      <c r="I366">
        <v>4.2</v>
      </c>
      <c r="J366" s="1">
        <v>13937</v>
      </c>
    </row>
    <row r="367" spans="1:10">
      <c r="A367" t="s">
        <v>786</v>
      </c>
      <c r="B367" t="s">
        <v>787</v>
      </c>
      <c r="C367" t="str">
        <f>LEFT(B367,FIND(" ",B367)-1)</f>
        <v>Fire-Boltt</v>
      </c>
      <c r="D367" t="str">
        <f>TRIM(RIGHT(E367,LEN(E367)-FIND("@",SUBSTITUTE(E367,"|","@",LEN(E367)-LEN(SUBSTITUTE(E367,"|",""))))))</f>
        <v>SmartWatches</v>
      </c>
      <c r="E367" t="s">
        <v>714</v>
      </c>
      <c r="F367" s="1">
        <v>2199</v>
      </c>
      <c r="G367" s="1">
        <v>9999</v>
      </c>
      <c r="H367" s="6">
        <v>78</v>
      </c>
      <c r="I367">
        <v>4.2</v>
      </c>
      <c r="J367" s="1">
        <v>29471</v>
      </c>
    </row>
    <row r="368" spans="1:10">
      <c r="A368" t="s">
        <v>788</v>
      </c>
      <c r="B368" t="s">
        <v>789</v>
      </c>
      <c r="C368" t="str">
        <f>LEFT(B368,FIND(" ",B368)-1)</f>
        <v>Samsung</v>
      </c>
      <c r="D368" t="str">
        <f>TRIM(RIGHT(E368,LEN(E368)-FIND("@",SUBSTITUTE(E368,"|","@",LEN(E368)-LEN(SUBSTITUTE(E368,"|",""))))))</f>
        <v>Smartphones</v>
      </c>
      <c r="E368" t="s">
        <v>725</v>
      </c>
      <c r="F368" s="1">
        <v>16999</v>
      </c>
      <c r="G368" s="1">
        <v>24999</v>
      </c>
      <c r="H368" s="6">
        <v>32</v>
      </c>
      <c r="I368">
        <v>4.0999999999999996</v>
      </c>
      <c r="J368" s="1">
        <v>22318</v>
      </c>
    </row>
    <row r="369" spans="1:10">
      <c r="A369" t="s">
        <v>790</v>
      </c>
      <c r="B369" t="s">
        <v>791</v>
      </c>
      <c r="C369" t="str">
        <f>LEFT(B369,FIND(" ",B369)-1)</f>
        <v>iQOO</v>
      </c>
      <c r="D369" t="str">
        <f>TRIM(RIGHT(E369,LEN(E369)-FIND("@",SUBSTITUTE(E369,"|","@",LEN(E369)-LEN(SUBSTITUTE(E369,"|",""))))))</f>
        <v>Smartphones</v>
      </c>
      <c r="E369" t="s">
        <v>725</v>
      </c>
      <c r="F369" s="1">
        <v>16499</v>
      </c>
      <c r="G369" s="1">
        <v>20999</v>
      </c>
      <c r="H369" s="6">
        <v>21</v>
      </c>
      <c r="I369">
        <v>4</v>
      </c>
      <c r="J369" s="1">
        <v>21350</v>
      </c>
    </row>
    <row r="370" spans="1:10">
      <c r="A370" t="s">
        <v>792</v>
      </c>
      <c r="B370" t="s">
        <v>713</v>
      </c>
      <c r="C370" t="str">
        <f>LEFT(B370,FIND(" ",B370)-1)</f>
        <v>Fire-Boltt</v>
      </c>
      <c r="D370" t="str">
        <f>TRIM(RIGHT(E370,LEN(E370)-FIND("@",SUBSTITUTE(E370,"|","@",LEN(E370)-LEN(SUBSTITUTE(E370,"|",""))))))</f>
        <v>SmartWatches</v>
      </c>
      <c r="E370" t="s">
        <v>714</v>
      </c>
      <c r="F370" s="1">
        <v>1799</v>
      </c>
      <c r="G370" s="1">
        <v>19999</v>
      </c>
      <c r="H370" s="6">
        <v>91</v>
      </c>
      <c r="I370">
        <v>4.2</v>
      </c>
      <c r="J370" s="1">
        <v>13937</v>
      </c>
    </row>
    <row r="371" spans="1:10">
      <c r="A371" t="s">
        <v>21</v>
      </c>
      <c r="B371" t="s">
        <v>22</v>
      </c>
      <c r="C371" t="str">
        <f>LEFT(B371,FIND(" ",B371)-1)</f>
        <v>Wayona</v>
      </c>
      <c r="D371" t="str">
        <f>TRIM(RIGHT(E371,LEN(E371)-FIND("@",SUBSTITUTE(E371,"|","@",LEN(E371)-LEN(SUBSTITUTE(E371,"|",""))))))</f>
        <v>USBCables</v>
      </c>
      <c r="E371" t="s">
        <v>23</v>
      </c>
      <c r="F371">
        <v>399</v>
      </c>
      <c r="G371" s="1">
        <v>1099</v>
      </c>
      <c r="H371" s="6">
        <v>64</v>
      </c>
      <c r="I371">
        <v>4.2</v>
      </c>
      <c r="J371" s="1">
        <v>24270</v>
      </c>
    </row>
    <row r="372" spans="1:10">
      <c r="A372" t="s">
        <v>793</v>
      </c>
      <c r="B372" t="s">
        <v>794</v>
      </c>
      <c r="C372" t="str">
        <f>LEFT(B372,FIND(" ",B372)-1)</f>
        <v>Redmi</v>
      </c>
      <c r="D372" t="str">
        <f>TRIM(RIGHT(E372,LEN(E372)-FIND("@",SUBSTITUTE(E372,"|","@",LEN(E372)-LEN(SUBSTITUTE(E372,"|",""))))))</f>
        <v>Smartphones</v>
      </c>
      <c r="E372" t="s">
        <v>725</v>
      </c>
      <c r="F372" s="1">
        <v>8499</v>
      </c>
      <c r="G372" s="1">
        <v>10999</v>
      </c>
      <c r="H372" s="6">
        <v>23</v>
      </c>
      <c r="I372">
        <v>4.0999999999999996</v>
      </c>
      <c r="J372" t="s">
        <v>795</v>
      </c>
    </row>
    <row r="373" spans="1:10">
      <c r="A373" t="s">
        <v>796</v>
      </c>
      <c r="B373" t="s">
        <v>797</v>
      </c>
      <c r="C373" t="str">
        <f>LEFT(B373,FIND(" ",B373)-1)</f>
        <v>Redmi</v>
      </c>
      <c r="D373" t="str">
        <f>TRIM(RIGHT(E373,LEN(E373)-FIND("@",SUBSTITUTE(E373,"|","@",LEN(E373)-LEN(SUBSTITUTE(E373,"|",""))))))</f>
        <v>Smartphones</v>
      </c>
      <c r="E373" t="s">
        <v>725</v>
      </c>
      <c r="F373" s="1">
        <v>6499</v>
      </c>
      <c r="G373" s="1">
        <v>8499</v>
      </c>
      <c r="H373" s="6">
        <v>24</v>
      </c>
      <c r="I373">
        <v>4.0999999999999996</v>
      </c>
      <c r="J373" t="s">
        <v>795</v>
      </c>
    </row>
    <row r="374" spans="1:10">
      <c r="A374" t="s">
        <v>798</v>
      </c>
      <c r="B374" t="s">
        <v>713</v>
      </c>
      <c r="C374" t="str">
        <f>LEFT(B374,FIND(" ",B374)-1)</f>
        <v>Fire-Boltt</v>
      </c>
      <c r="D374" t="str">
        <f>TRIM(RIGHT(E374,LEN(E374)-FIND("@",SUBSTITUTE(E374,"|","@",LEN(E374)-LEN(SUBSTITUTE(E374,"|",""))))))</f>
        <v>SmartWatches</v>
      </c>
      <c r="E374" t="s">
        <v>714</v>
      </c>
      <c r="F374" s="1">
        <v>1799</v>
      </c>
      <c r="G374" s="1">
        <v>19999</v>
      </c>
      <c r="H374" s="6">
        <v>91</v>
      </c>
      <c r="I374">
        <v>4.2</v>
      </c>
      <c r="J374" s="1">
        <v>13937</v>
      </c>
    </row>
    <row r="375" spans="1:10">
      <c r="A375" t="s">
        <v>799</v>
      </c>
      <c r="B375" t="s">
        <v>800</v>
      </c>
      <c r="C375" t="str">
        <f>LEFT(B375,FIND(" ",B375)-1)</f>
        <v>Redmi</v>
      </c>
      <c r="D375" t="str">
        <f>TRIM(RIGHT(E375,LEN(E375)-FIND("@",SUBSTITUTE(E375,"|","@",LEN(E375)-LEN(SUBSTITUTE(E375,"|",""))))))</f>
        <v>Smartphones</v>
      </c>
      <c r="E375" t="s">
        <v>725</v>
      </c>
      <c r="F375" s="1">
        <v>8999</v>
      </c>
      <c r="G375" s="1">
        <v>11999</v>
      </c>
      <c r="H375" s="6">
        <v>25</v>
      </c>
      <c r="I375">
        <v>4</v>
      </c>
      <c r="J375" s="1">
        <v>12796</v>
      </c>
    </row>
    <row r="376" spans="1:10">
      <c r="A376" t="s">
        <v>801</v>
      </c>
      <c r="B376" t="s">
        <v>802</v>
      </c>
      <c r="C376" t="str">
        <f>LEFT(B376,FIND(" ",B376)-1)</f>
        <v>AGARO</v>
      </c>
      <c r="D376" t="str">
        <f>TRIM(RIGHT(E376,LEN(E376)-FIND("@",SUBSTITUTE(E376,"|","@",LEN(E376)-LEN(SUBSTITUTE(E376,"|",""))))))</f>
        <v>OTGAdapters</v>
      </c>
      <c r="E376" t="s">
        <v>803</v>
      </c>
      <c r="F376">
        <v>139</v>
      </c>
      <c r="G376">
        <v>495</v>
      </c>
      <c r="H376" s="6">
        <v>72</v>
      </c>
      <c r="I376">
        <v>4.3</v>
      </c>
      <c r="J376" s="1">
        <v>14185</v>
      </c>
    </row>
    <row r="377" spans="1:10">
      <c r="A377" t="s">
        <v>804</v>
      </c>
      <c r="B377" t="s">
        <v>805</v>
      </c>
      <c r="C377" t="str">
        <f>LEFT(B377,FIND(" ",B377)-1)</f>
        <v>Fire-Boltt</v>
      </c>
      <c r="D377" t="str">
        <f>TRIM(RIGHT(E377,LEN(E377)-FIND("@",SUBSTITUTE(E377,"|","@",LEN(E377)-LEN(SUBSTITUTE(E377,"|",""))))))</f>
        <v>SmartWatches</v>
      </c>
      <c r="E377" t="s">
        <v>714</v>
      </c>
      <c r="F377" s="1">
        <v>3999</v>
      </c>
      <c r="G377" s="1">
        <v>16999</v>
      </c>
      <c r="H377" s="6">
        <v>76</v>
      </c>
      <c r="I377">
        <v>4.3</v>
      </c>
      <c r="J377" s="1">
        <v>17159</v>
      </c>
    </row>
    <row r="378" spans="1:10">
      <c r="A378" t="s">
        <v>806</v>
      </c>
      <c r="B378" t="s">
        <v>807</v>
      </c>
      <c r="C378" t="str">
        <f>LEFT(B378,FIND(" ",B378)-1)</f>
        <v>Noise</v>
      </c>
      <c r="D378" t="str">
        <f>TRIM(RIGHT(E378,LEN(E378)-FIND("@",SUBSTITUTE(E378,"|","@",LEN(E378)-LEN(SUBSTITUTE(E378,"|",""))))))</f>
        <v>SmartWatches</v>
      </c>
      <c r="E378" t="s">
        <v>714</v>
      </c>
      <c r="F378" s="1">
        <v>2998</v>
      </c>
      <c r="G378" s="1">
        <v>5999</v>
      </c>
      <c r="H378" s="6">
        <v>5</v>
      </c>
      <c r="I378">
        <v>4.0999999999999996</v>
      </c>
      <c r="J378" s="1">
        <v>5179</v>
      </c>
    </row>
    <row r="379" spans="1:10">
      <c r="A379" t="s">
        <v>24</v>
      </c>
      <c r="B379" t="s">
        <v>25</v>
      </c>
      <c r="C379" t="str">
        <f>LEFT(B379,FIND(" ",B379)-1)</f>
        <v>Ambrane</v>
      </c>
      <c r="D379" t="str">
        <f>TRIM(RIGHT(E379,LEN(E379)-FIND("@",SUBSTITUTE(E379,"|","@",LEN(E379)-LEN(SUBSTITUTE(E379,"|",""))))))</f>
        <v>USBCables</v>
      </c>
      <c r="E379" t="s">
        <v>23</v>
      </c>
      <c r="F379">
        <v>199</v>
      </c>
      <c r="G379">
        <v>349</v>
      </c>
      <c r="H379" s="6">
        <v>43</v>
      </c>
      <c r="I379">
        <v>4</v>
      </c>
      <c r="J379" s="1">
        <v>43993</v>
      </c>
    </row>
    <row r="380" spans="1:10">
      <c r="A380" t="s">
        <v>808</v>
      </c>
      <c r="B380" t="s">
        <v>809</v>
      </c>
      <c r="C380" t="str">
        <f>LEFT(B380,FIND(" ",B380)-1)</f>
        <v>iQOO</v>
      </c>
      <c r="D380" t="str">
        <f>TRIM(RIGHT(E380,LEN(E380)-FIND("@",SUBSTITUTE(E380,"|","@",LEN(E380)-LEN(SUBSTITUTE(E380,"|",""))))))</f>
        <v>Smartphones</v>
      </c>
      <c r="E380" t="s">
        <v>725</v>
      </c>
      <c r="F380" s="1">
        <v>15499</v>
      </c>
      <c r="G380" s="1">
        <v>18999</v>
      </c>
      <c r="H380" s="6">
        <v>18</v>
      </c>
      <c r="I380">
        <v>4.0999999999999996</v>
      </c>
      <c r="J380" s="1">
        <v>19252</v>
      </c>
    </row>
    <row r="381" spans="1:10">
      <c r="A381" t="s">
        <v>26</v>
      </c>
      <c r="B381" t="s">
        <v>27</v>
      </c>
      <c r="C381" t="str">
        <f>LEFT(B381,FIND(" ",B381)-1)</f>
        <v>Sounce</v>
      </c>
      <c r="D381" t="str">
        <f>TRIM(RIGHT(E381,LEN(E381)-FIND("@",SUBSTITUTE(E381,"|","@",LEN(E381)-LEN(SUBSTITUTE(E381,"|",""))))))</f>
        <v>USBCables</v>
      </c>
      <c r="E381" t="s">
        <v>23</v>
      </c>
      <c r="F381">
        <v>199</v>
      </c>
      <c r="G381">
        <v>999</v>
      </c>
      <c r="H381" s="6">
        <v>8</v>
      </c>
      <c r="I381">
        <v>3.9</v>
      </c>
      <c r="J381" s="1">
        <v>7928</v>
      </c>
    </row>
    <row r="382" spans="1:10">
      <c r="A382" t="s">
        <v>810</v>
      </c>
      <c r="B382" t="s">
        <v>713</v>
      </c>
      <c r="C382" t="str">
        <f>LEFT(B382,FIND(" ",B382)-1)</f>
        <v>Fire-Boltt</v>
      </c>
      <c r="D382" t="str">
        <f>TRIM(RIGHT(E382,LEN(E382)-FIND("@",SUBSTITUTE(E382,"|","@",LEN(E382)-LEN(SUBSTITUTE(E382,"|",""))))))</f>
        <v>SmartWatches</v>
      </c>
      <c r="E382" t="s">
        <v>714</v>
      </c>
      <c r="F382" s="1">
        <v>1799</v>
      </c>
      <c r="G382" s="1">
        <v>19999</v>
      </c>
      <c r="H382" s="6">
        <v>91</v>
      </c>
      <c r="I382">
        <v>4.2</v>
      </c>
      <c r="J382" s="1">
        <v>13937</v>
      </c>
    </row>
    <row r="383" spans="1:10">
      <c r="A383" t="s">
        <v>811</v>
      </c>
      <c r="B383" t="s">
        <v>812</v>
      </c>
      <c r="C383" t="str">
        <f>LEFT(B383,FIND(" ",B383)-1)</f>
        <v>Redmi</v>
      </c>
      <c r="D383" t="str">
        <f>TRIM(RIGHT(E383,LEN(E383)-FIND("@",SUBSTITUTE(E383,"|","@",LEN(E383)-LEN(SUBSTITUTE(E383,"|",""))))))</f>
        <v>Smartphones</v>
      </c>
      <c r="E383" t="s">
        <v>725</v>
      </c>
      <c r="F383" s="1">
        <v>8999</v>
      </c>
      <c r="G383" s="1">
        <v>11999</v>
      </c>
      <c r="H383" s="6">
        <v>25</v>
      </c>
      <c r="I383">
        <v>4</v>
      </c>
      <c r="J383" s="1">
        <v>12796</v>
      </c>
    </row>
    <row r="384" spans="1:10">
      <c r="A384" t="s">
        <v>813</v>
      </c>
      <c r="B384" t="s">
        <v>814</v>
      </c>
      <c r="C384" t="str">
        <f>LEFT(B384,FIND(" ",B384)-1)</f>
        <v>Duracell</v>
      </c>
      <c r="D384" t="str">
        <f>TRIM(RIGHT(E384,LEN(E384)-FIND("@",SUBSTITUTE(E384,"|","@",LEN(E384)-LEN(SUBSTITUTE(E384,"|",""))))))</f>
        <v>AutomobileChargers</v>
      </c>
      <c r="E384" t="s">
        <v>757</v>
      </c>
      <c r="F384">
        <v>873</v>
      </c>
      <c r="G384" s="1">
        <v>1699</v>
      </c>
      <c r="H384" s="6">
        <v>49</v>
      </c>
      <c r="I384">
        <v>4.4000000000000004</v>
      </c>
      <c r="J384" s="1">
        <v>1680</v>
      </c>
    </row>
    <row r="385" spans="1:10">
      <c r="A385" t="s">
        <v>815</v>
      </c>
      <c r="B385" t="s">
        <v>816</v>
      </c>
      <c r="C385" t="str">
        <f>LEFT(B385,FIND(" ",B385)-1)</f>
        <v>realme</v>
      </c>
      <c r="D385" t="str">
        <f>TRIM(RIGHT(E385,LEN(E385)-FIND("@",SUBSTITUTE(E385,"|","@",LEN(E385)-LEN(SUBSTITUTE(E385,"|",""))))))</f>
        <v>Smartphones</v>
      </c>
      <c r="E385" t="s">
        <v>725</v>
      </c>
      <c r="F385" s="1">
        <v>12999</v>
      </c>
      <c r="G385" s="1">
        <v>15999</v>
      </c>
      <c r="H385" s="6">
        <v>19</v>
      </c>
      <c r="I385">
        <v>4.2</v>
      </c>
      <c r="J385" s="1">
        <v>13246</v>
      </c>
    </row>
    <row r="386" spans="1:10">
      <c r="A386" t="s">
        <v>817</v>
      </c>
      <c r="B386" t="s">
        <v>818</v>
      </c>
      <c r="C386" t="str">
        <f>LEFT(B386,FIND(" ",B386)-1)</f>
        <v>WeCool</v>
      </c>
      <c r="D386" t="str">
        <f>TRIM(RIGHT(E386,LEN(E386)-FIND("@",SUBSTITUTE(E386,"|","@",LEN(E386)-LEN(SUBSTITUTE(E386,"|",""))))))</f>
        <v>Tripods</v>
      </c>
      <c r="E386" t="s">
        <v>819</v>
      </c>
      <c r="F386">
        <v>539</v>
      </c>
      <c r="G386" s="1">
        <v>1599</v>
      </c>
      <c r="H386" s="6">
        <v>66</v>
      </c>
      <c r="I386">
        <v>3.8</v>
      </c>
      <c r="J386" s="1">
        <v>14648</v>
      </c>
    </row>
    <row r="387" spans="1:10">
      <c r="A387" t="s">
        <v>820</v>
      </c>
      <c r="B387" t="s">
        <v>716</v>
      </c>
      <c r="C387" t="str">
        <f>LEFT(B387,FIND(" ",B387)-1)</f>
        <v>Fire-Boltt</v>
      </c>
      <c r="D387" t="str">
        <f>TRIM(RIGHT(E387,LEN(E387)-FIND("@",SUBSTITUTE(E387,"|","@",LEN(E387)-LEN(SUBSTITUTE(E387,"|",""))))))</f>
        <v>SmartWatches</v>
      </c>
      <c r="E387" t="s">
        <v>714</v>
      </c>
      <c r="F387" s="1">
        <v>1999</v>
      </c>
      <c r="G387" s="1">
        <v>9999</v>
      </c>
      <c r="H387" s="6">
        <v>8</v>
      </c>
      <c r="I387">
        <v>4.3</v>
      </c>
      <c r="J387" s="1">
        <v>27696</v>
      </c>
    </row>
    <row r="388" spans="1:10">
      <c r="A388" t="s">
        <v>821</v>
      </c>
      <c r="B388" t="s">
        <v>822</v>
      </c>
      <c r="C388" t="str">
        <f>LEFT(B388,FIND(" ",B388)-1)</f>
        <v>OPPO</v>
      </c>
      <c r="D388" t="str">
        <f>TRIM(RIGHT(E388,LEN(E388)-FIND("@",SUBSTITUTE(E388,"|","@",LEN(E388)-LEN(SUBSTITUTE(E388,"|",""))))))</f>
        <v>Smartphones</v>
      </c>
      <c r="E388" t="s">
        <v>725</v>
      </c>
      <c r="F388" s="1">
        <v>15490</v>
      </c>
      <c r="G388" s="1">
        <v>20990</v>
      </c>
      <c r="H388" s="6">
        <v>26</v>
      </c>
      <c r="I388">
        <v>4.2</v>
      </c>
      <c r="J388" s="1">
        <v>32916</v>
      </c>
    </row>
    <row r="389" spans="1:10">
      <c r="A389" t="s">
        <v>823</v>
      </c>
      <c r="B389" t="s">
        <v>824</v>
      </c>
      <c r="C389" t="str">
        <f>LEFT(B389,FIND(" ",B389)-1)</f>
        <v>Redmi</v>
      </c>
      <c r="D389" t="str">
        <f>TRIM(RIGHT(E389,LEN(E389)-FIND("@",SUBSTITUTE(E389,"|","@",LEN(E389)-LEN(SUBSTITUTE(E389,"|",""))))))</f>
        <v>Smartphones</v>
      </c>
      <c r="E389" t="s">
        <v>725</v>
      </c>
      <c r="F389" s="1">
        <v>19999</v>
      </c>
      <c r="G389" s="1">
        <v>24999</v>
      </c>
      <c r="H389" s="6">
        <v>2</v>
      </c>
      <c r="I389">
        <v>3.9</v>
      </c>
      <c r="J389" s="1">
        <v>25824</v>
      </c>
    </row>
    <row r="390" spans="1:10">
      <c r="A390" t="s">
        <v>825</v>
      </c>
      <c r="B390" t="s">
        <v>826</v>
      </c>
      <c r="C390" t="str">
        <f>LEFT(B390,FIND(" ",B390)-1)</f>
        <v>Samsung</v>
      </c>
      <c r="D390" t="str">
        <f>TRIM(RIGHT(E390,LEN(E390)-FIND("@",SUBSTITUTE(E390,"|","@",LEN(E390)-LEN(SUBSTITUTE(E390,"|",""))))))</f>
        <v>WallChargers</v>
      </c>
      <c r="E390" t="s">
        <v>774</v>
      </c>
      <c r="F390" s="1">
        <v>1075</v>
      </c>
      <c r="G390" s="1">
        <v>1699</v>
      </c>
      <c r="H390" s="6">
        <v>37</v>
      </c>
      <c r="I390">
        <v>4.4000000000000004</v>
      </c>
      <c r="J390" s="1">
        <v>7462</v>
      </c>
    </row>
    <row r="391" spans="1:10">
      <c r="A391" t="s">
        <v>827</v>
      </c>
      <c r="B391" t="s">
        <v>828</v>
      </c>
      <c r="C391" t="str">
        <f>LEFT(B391,FIND(" ",B391)-1)</f>
        <v>realme</v>
      </c>
      <c r="D391" t="str">
        <f>TRIM(RIGHT(E391,LEN(E391)-FIND("@",SUBSTITUTE(E391,"|","@",LEN(E391)-LEN(SUBSTITUTE(E391,"|",""))))))</f>
        <v>In-Ear</v>
      </c>
      <c r="E391" t="s">
        <v>747</v>
      </c>
      <c r="F391">
        <v>399</v>
      </c>
      <c r="G391">
        <v>699</v>
      </c>
      <c r="H391" s="6">
        <v>43</v>
      </c>
      <c r="I391">
        <v>4</v>
      </c>
      <c r="J391" s="1">
        <v>37817</v>
      </c>
    </row>
    <row r="392" spans="1:10">
      <c r="A392" t="s">
        <v>829</v>
      </c>
      <c r="B392" t="s">
        <v>830</v>
      </c>
      <c r="C392" t="str">
        <f>LEFT(B392,FIND(" ",B392)-1)</f>
        <v>Noise</v>
      </c>
      <c r="D392" t="str">
        <f>TRIM(RIGHT(E392,LEN(E392)-FIND("@",SUBSTITUTE(E392,"|","@",LEN(E392)-LEN(SUBSTITUTE(E392,"|",""))))))</f>
        <v>SmartWatches</v>
      </c>
      <c r="E392" t="s">
        <v>714</v>
      </c>
      <c r="F392" s="1">
        <v>1999</v>
      </c>
      <c r="G392" s="1">
        <v>3990</v>
      </c>
      <c r="H392" s="6">
        <v>5</v>
      </c>
      <c r="I392">
        <v>4</v>
      </c>
      <c r="J392" s="1">
        <v>30254</v>
      </c>
    </row>
    <row r="393" spans="1:10">
      <c r="A393" t="s">
        <v>831</v>
      </c>
      <c r="B393" t="s">
        <v>832</v>
      </c>
      <c r="C393" t="str">
        <f>LEFT(B393,FIND(" ",B393)-1)</f>
        <v>boAt</v>
      </c>
      <c r="D393" t="str">
        <f>TRIM(RIGHT(E393,LEN(E393)-FIND("@",SUBSTITUTE(E393,"|","@",LEN(E393)-LEN(SUBSTITUTE(E393,"|",""))))))</f>
        <v>SmartWatches</v>
      </c>
      <c r="E393" t="s">
        <v>714</v>
      </c>
      <c r="F393" s="1">
        <v>1999</v>
      </c>
      <c r="G393" s="1">
        <v>7990</v>
      </c>
      <c r="H393" s="6">
        <v>75</v>
      </c>
      <c r="I393">
        <v>3.8</v>
      </c>
      <c r="J393" s="1">
        <v>17831</v>
      </c>
    </row>
    <row r="394" spans="1:10">
      <c r="A394" t="s">
        <v>28</v>
      </c>
      <c r="B394" t="s">
        <v>29</v>
      </c>
      <c r="C394" t="str">
        <f>LEFT(B394,FIND(" ",B394)-1)</f>
        <v>boAt</v>
      </c>
      <c r="D394" t="str">
        <f>TRIM(RIGHT(E394,LEN(E394)-FIND("@",SUBSTITUTE(E394,"|","@",LEN(E394)-LEN(SUBSTITUTE(E394,"|",""))))))</f>
        <v>USBCables</v>
      </c>
      <c r="E394" t="s">
        <v>23</v>
      </c>
      <c r="F394">
        <v>329</v>
      </c>
      <c r="G394">
        <v>699</v>
      </c>
      <c r="H394" s="6">
        <v>53</v>
      </c>
      <c r="I394">
        <v>4.2</v>
      </c>
      <c r="J394" s="1">
        <v>94364</v>
      </c>
    </row>
    <row r="395" spans="1:10">
      <c r="A395" t="s">
        <v>833</v>
      </c>
      <c r="B395" t="s">
        <v>834</v>
      </c>
      <c r="C395" t="str">
        <f>LEFT(B395,FIND(" ",B395)-1)</f>
        <v>iQOO</v>
      </c>
      <c r="D395" t="str">
        <f>TRIM(RIGHT(E395,LEN(E395)-FIND("@",SUBSTITUTE(E395,"|","@",LEN(E395)-LEN(SUBSTITUTE(E395,"|",""))))))</f>
        <v>Smartphones</v>
      </c>
      <c r="E395" t="s">
        <v>725</v>
      </c>
      <c r="F395" s="1">
        <v>28999</v>
      </c>
      <c r="G395" s="1">
        <v>34999</v>
      </c>
      <c r="H395" s="6">
        <v>17</v>
      </c>
      <c r="I395">
        <v>4.4000000000000004</v>
      </c>
      <c r="J395" s="1">
        <v>20311</v>
      </c>
    </row>
    <row r="396" spans="1:10">
      <c r="A396" t="s">
        <v>835</v>
      </c>
      <c r="B396" t="s">
        <v>836</v>
      </c>
      <c r="C396" t="str">
        <f>LEFT(B396,FIND(" ",B396)-1)</f>
        <v>boAt</v>
      </c>
      <c r="D396" t="str">
        <f>TRIM(RIGHT(E396,LEN(E396)-FIND("@",SUBSTITUTE(E396,"|","@",LEN(E396)-LEN(SUBSTITUTE(E396,"|",""))))))</f>
        <v>SmartWatches</v>
      </c>
      <c r="E396" t="s">
        <v>714</v>
      </c>
      <c r="F396" s="1">
        <v>2299</v>
      </c>
      <c r="G396" s="1">
        <v>7990</v>
      </c>
      <c r="H396" s="6">
        <v>71</v>
      </c>
      <c r="I396">
        <v>4.2</v>
      </c>
      <c r="J396" s="1">
        <v>69622</v>
      </c>
    </row>
    <row r="397" spans="1:10">
      <c r="A397" t="s">
        <v>837</v>
      </c>
      <c r="B397" t="s">
        <v>838</v>
      </c>
      <c r="C397" t="str">
        <f>LEFT(B397,FIND(" ",B397)-1)</f>
        <v>Tygot</v>
      </c>
      <c r="D397" t="str">
        <f>TRIM(RIGHT(E397,LEN(E397)-FIND("@",SUBSTITUTE(E397,"|","@",LEN(E397)-LEN(SUBSTITUTE(E397,"|",""))))))</f>
        <v>SelfieSticks</v>
      </c>
      <c r="E397" t="s">
        <v>839</v>
      </c>
      <c r="F397">
        <v>399</v>
      </c>
      <c r="G397" s="1">
        <v>1999</v>
      </c>
      <c r="H397" s="6">
        <v>8</v>
      </c>
      <c r="I397">
        <v>4</v>
      </c>
      <c r="J397" s="1">
        <v>3382</v>
      </c>
    </row>
    <row r="398" spans="1:10">
      <c r="A398" t="s">
        <v>840</v>
      </c>
      <c r="B398" t="s">
        <v>841</v>
      </c>
      <c r="C398" t="str">
        <f>LEFT(B398,FIND(" ",B398)-1)</f>
        <v>Samsung</v>
      </c>
      <c r="D398" t="str">
        <f>TRIM(RIGHT(E398,LEN(E398)-FIND("@",SUBSTITUTE(E398,"|","@",LEN(E398)-LEN(SUBSTITUTE(E398,"|",""))))))</f>
        <v>MicroSD</v>
      </c>
      <c r="E398" t="s">
        <v>736</v>
      </c>
      <c r="F398" s="1">
        <v>1149</v>
      </c>
      <c r="G398" s="1">
        <v>3999</v>
      </c>
      <c r="H398" s="6">
        <v>71</v>
      </c>
      <c r="I398">
        <v>4.3</v>
      </c>
      <c r="J398" t="s">
        <v>842</v>
      </c>
    </row>
    <row r="399" spans="1:10">
      <c r="A399" t="s">
        <v>843</v>
      </c>
      <c r="B399" t="s">
        <v>844</v>
      </c>
      <c r="C399" t="str">
        <f>LEFT(B399,FIND(" ",B399)-1)</f>
        <v>Portronics</v>
      </c>
      <c r="D399" t="str">
        <f>TRIM(RIGHT(E399,LEN(E399)-FIND("@",SUBSTITUTE(E399,"|","@",LEN(E399)-LEN(SUBSTITUTE(E399,"|",""))))))</f>
        <v>WallChargers</v>
      </c>
      <c r="E399" t="s">
        <v>774</v>
      </c>
      <c r="F399">
        <v>529</v>
      </c>
      <c r="G399" s="1">
        <v>1499</v>
      </c>
      <c r="H399" s="6">
        <v>65</v>
      </c>
      <c r="I399">
        <v>4.0999999999999996</v>
      </c>
      <c r="J399" s="1">
        <v>8599</v>
      </c>
    </row>
    <row r="400" spans="1:10">
      <c r="A400" t="s">
        <v>845</v>
      </c>
      <c r="B400" t="s">
        <v>846</v>
      </c>
      <c r="C400" t="str">
        <f>LEFT(B400,FIND(" ",B400)-1)</f>
        <v>Samsung</v>
      </c>
      <c r="D400" t="str">
        <f>TRIM(RIGHT(E400,LEN(E400)-FIND("@",SUBSTITUTE(E400,"|","@",LEN(E400)-LEN(SUBSTITUTE(E400,"|",""))))))</f>
        <v>Smartphones</v>
      </c>
      <c r="E400" t="s">
        <v>725</v>
      </c>
      <c r="F400" s="1">
        <v>13999</v>
      </c>
      <c r="G400" s="1">
        <v>19499</v>
      </c>
      <c r="H400" s="6">
        <v>28</v>
      </c>
      <c r="I400">
        <v>4.0999999999999996</v>
      </c>
      <c r="J400" s="1">
        <v>18998</v>
      </c>
    </row>
    <row r="401" spans="1:10">
      <c r="A401" t="s">
        <v>847</v>
      </c>
      <c r="B401" t="s">
        <v>848</v>
      </c>
      <c r="C401" t="str">
        <f>LEFT(B401,FIND(" ",B401)-1)</f>
        <v>boAt</v>
      </c>
      <c r="D401" t="str">
        <f>TRIM(RIGHT(E401,LEN(E401)-FIND("@",SUBSTITUTE(E401,"|","@",LEN(E401)-LEN(SUBSTITUTE(E401,"|",""))))))</f>
        <v>In-Ear</v>
      </c>
      <c r="E401" t="s">
        <v>747</v>
      </c>
      <c r="F401">
        <v>379</v>
      </c>
      <c r="G401">
        <v>999</v>
      </c>
      <c r="H401" s="6">
        <v>62</v>
      </c>
      <c r="I401">
        <v>4.0999999999999996</v>
      </c>
      <c r="J401" t="s">
        <v>760</v>
      </c>
    </row>
    <row r="402" spans="1:10">
      <c r="A402" t="s">
        <v>849</v>
      </c>
      <c r="B402" t="s">
        <v>850</v>
      </c>
      <c r="C402" t="str">
        <f>LEFT(B402,FIND(" ",B402)-1)</f>
        <v>iQOO</v>
      </c>
      <c r="D402" t="str">
        <f>TRIM(RIGHT(E402,LEN(E402)-FIND("@",SUBSTITUTE(E402,"|","@",LEN(E402)-LEN(SUBSTITUTE(E402,"|",""))))))</f>
        <v>Smartphones</v>
      </c>
      <c r="E402" t="s">
        <v>725</v>
      </c>
      <c r="F402" s="1">
        <v>13999</v>
      </c>
      <c r="G402" s="1">
        <v>19999</v>
      </c>
      <c r="H402" s="6">
        <v>3</v>
      </c>
      <c r="I402">
        <v>4.0999999999999996</v>
      </c>
      <c r="J402" s="1">
        <v>19252</v>
      </c>
    </row>
    <row r="403" spans="1:10">
      <c r="A403" t="s">
        <v>851</v>
      </c>
      <c r="B403" t="s">
        <v>852</v>
      </c>
      <c r="C403" t="str">
        <f>LEFT(B403,FIND(" ",B403)-1)</f>
        <v>Fire-Boltt</v>
      </c>
      <c r="D403" t="str">
        <f>TRIM(RIGHT(E403,LEN(E403)-FIND("@",SUBSTITUTE(E403,"|","@",LEN(E403)-LEN(SUBSTITUTE(E403,"|",""))))))</f>
        <v>SmartWatches</v>
      </c>
      <c r="E403" t="s">
        <v>714</v>
      </c>
      <c r="F403" s="1">
        <v>3999</v>
      </c>
      <c r="G403" s="1">
        <v>9999</v>
      </c>
      <c r="H403" s="6">
        <v>6</v>
      </c>
      <c r="I403">
        <v>4.4000000000000004</v>
      </c>
      <c r="J403">
        <v>73</v>
      </c>
    </row>
    <row r="404" spans="1:10">
      <c r="A404" t="s">
        <v>32</v>
      </c>
      <c r="B404" t="s">
        <v>33</v>
      </c>
      <c r="C404" t="str">
        <f>LEFT(B404,FIND(" ",B404)-1)</f>
        <v>pTron</v>
      </c>
      <c r="D404" t="str">
        <f>TRIM(RIGHT(E404,LEN(E404)-FIND("@",SUBSTITUTE(E404,"|","@",LEN(E404)-LEN(SUBSTITUTE(E404,"|",""))))))</f>
        <v>USBCables</v>
      </c>
      <c r="E404" t="s">
        <v>23</v>
      </c>
      <c r="F404">
        <v>149</v>
      </c>
      <c r="G404" s="1">
        <v>1000</v>
      </c>
      <c r="H404" s="6">
        <v>85</v>
      </c>
      <c r="I404">
        <v>3.9</v>
      </c>
      <c r="J404" s="1">
        <v>24870</v>
      </c>
    </row>
    <row r="405" spans="1:10">
      <c r="A405" t="s">
        <v>853</v>
      </c>
      <c r="B405" t="s">
        <v>854</v>
      </c>
      <c r="C405" t="str">
        <f>LEFT(B405,FIND(" ",B405)-1)</f>
        <v>STRIFF</v>
      </c>
      <c r="D405" t="str">
        <f>TRIM(RIGHT(E405,LEN(E405)-FIND("@",SUBSTITUTE(E405,"|","@",LEN(E405)-LEN(SUBSTITUTE(E405,"|",""))))))</f>
        <v>Stands</v>
      </c>
      <c r="E405" t="s">
        <v>855</v>
      </c>
      <c r="F405">
        <v>99</v>
      </c>
      <c r="G405">
        <v>499</v>
      </c>
      <c r="H405" s="6">
        <v>8</v>
      </c>
      <c r="I405">
        <v>4.3</v>
      </c>
      <c r="J405" s="1">
        <v>42641</v>
      </c>
    </row>
    <row r="406" spans="1:10">
      <c r="A406" t="s">
        <v>856</v>
      </c>
      <c r="B406" t="s">
        <v>857</v>
      </c>
      <c r="C406" t="str">
        <f>LEFT(B406,FIND(" ",B406)-1)</f>
        <v>Samsung</v>
      </c>
      <c r="D406" t="str">
        <f>TRIM(RIGHT(E406,LEN(E406)-FIND("@",SUBSTITUTE(E406,"|","@",LEN(E406)-LEN(SUBSTITUTE(E406,"|",""))))))</f>
        <v>In-Ear</v>
      </c>
      <c r="E406" t="s">
        <v>747</v>
      </c>
      <c r="F406" s="1">
        <v>4790</v>
      </c>
      <c r="G406" s="1">
        <v>15990</v>
      </c>
      <c r="H406" s="6">
        <v>7</v>
      </c>
      <c r="I406">
        <v>4</v>
      </c>
      <c r="J406" s="1">
        <v>4390</v>
      </c>
    </row>
    <row r="407" spans="1:10">
      <c r="A407" t="s">
        <v>858</v>
      </c>
      <c r="B407" t="s">
        <v>859</v>
      </c>
      <c r="C407" t="str">
        <f>LEFT(B407,FIND(" ",B407)-1)</f>
        <v>OnePlus</v>
      </c>
      <c r="D407" t="str">
        <f>TRIM(RIGHT(E407,LEN(E407)-FIND("@",SUBSTITUTE(E407,"|","@",LEN(E407)-LEN(SUBSTITUTE(E407,"|",""))))))</f>
        <v>Smartphones</v>
      </c>
      <c r="E407" t="s">
        <v>725</v>
      </c>
      <c r="F407" s="1">
        <v>33999</v>
      </c>
      <c r="G407" s="1">
        <v>33999</v>
      </c>
      <c r="H407" s="6">
        <v>0</v>
      </c>
      <c r="I407">
        <v>4.3</v>
      </c>
      <c r="J407" s="1">
        <v>17415</v>
      </c>
    </row>
    <row r="408" spans="1:10">
      <c r="A408" t="s">
        <v>860</v>
      </c>
      <c r="B408" t="s">
        <v>861</v>
      </c>
      <c r="C408" t="str">
        <f>LEFT(B408,FIND(" ",B408)-1)</f>
        <v>Sounce</v>
      </c>
      <c r="D408" t="str">
        <f>TRIM(RIGHT(E408,LEN(E408)-FIND("@",SUBSTITUTE(E408,"|","@",LEN(E408)-LEN(SUBSTITUTE(E408,"|",""))))))</f>
        <v>CableConnectionProtectors</v>
      </c>
      <c r="E408" t="s">
        <v>862</v>
      </c>
      <c r="F408">
        <v>99</v>
      </c>
      <c r="G408">
        <v>999</v>
      </c>
      <c r="H408" s="6">
        <v>9</v>
      </c>
      <c r="I408">
        <v>4</v>
      </c>
      <c r="J408" s="1">
        <v>1396</v>
      </c>
    </row>
    <row r="409" spans="1:10">
      <c r="A409" t="s">
        <v>863</v>
      </c>
      <c r="B409" t="s">
        <v>864</v>
      </c>
      <c r="C409" t="str">
        <f>LEFT(B409,FIND(" ",B409)-1)</f>
        <v>PTron</v>
      </c>
      <c r="D409" t="str">
        <f>TRIM(RIGHT(E409,LEN(E409)-FIND("@",SUBSTITUTE(E409,"|","@",LEN(E409)-LEN(SUBSTITUTE(E409,"|",""))))))</f>
        <v>In-Ear</v>
      </c>
      <c r="E409" t="s">
        <v>747</v>
      </c>
      <c r="F409">
        <v>299</v>
      </c>
      <c r="G409" s="1">
        <v>1900</v>
      </c>
      <c r="H409" s="6">
        <v>84</v>
      </c>
      <c r="I409">
        <v>3.6</v>
      </c>
      <c r="J409" s="1">
        <v>18202</v>
      </c>
    </row>
    <row r="410" spans="1:10">
      <c r="A410" t="s">
        <v>865</v>
      </c>
      <c r="B410" t="s">
        <v>866</v>
      </c>
      <c r="C410" t="str">
        <f>LEFT(B410,FIND(" ",B410)-1)</f>
        <v>Samsung</v>
      </c>
      <c r="D410" t="str">
        <f>TRIM(RIGHT(E410,LEN(E410)-FIND("@",SUBSTITUTE(E410,"|","@",LEN(E410)-LEN(SUBSTITUTE(E410,"|",""))))))</f>
        <v>Smartphones</v>
      </c>
      <c r="E410" t="s">
        <v>725</v>
      </c>
      <c r="F410" s="1">
        <v>10999</v>
      </c>
      <c r="G410" s="1">
        <v>14999</v>
      </c>
      <c r="H410" s="6">
        <v>27</v>
      </c>
      <c r="I410">
        <v>4.0999999999999996</v>
      </c>
      <c r="J410" s="1">
        <v>18998</v>
      </c>
    </row>
    <row r="411" spans="1:10">
      <c r="A411" t="s">
        <v>867</v>
      </c>
      <c r="B411" t="s">
        <v>868</v>
      </c>
      <c r="C411" t="str">
        <f>LEFT(B411,FIND(" ",B411)-1)</f>
        <v>OnePlus</v>
      </c>
      <c r="D411" t="str">
        <f>TRIM(RIGHT(E411,LEN(E411)-FIND("@",SUBSTITUTE(E411,"|","@",LEN(E411)-LEN(SUBSTITUTE(E411,"|",""))))))</f>
        <v>Smartphones</v>
      </c>
      <c r="E411" t="s">
        <v>725</v>
      </c>
      <c r="F411" s="1">
        <v>34999</v>
      </c>
      <c r="G411" s="1">
        <v>38999</v>
      </c>
      <c r="H411" s="6">
        <v>1</v>
      </c>
      <c r="I411">
        <v>4.2</v>
      </c>
      <c r="J411" s="1">
        <v>11029</v>
      </c>
    </row>
    <row r="412" spans="1:10">
      <c r="A412" t="s">
        <v>869</v>
      </c>
      <c r="B412" t="s">
        <v>789</v>
      </c>
      <c r="C412" t="str">
        <f>LEFT(B412,FIND(" ",B412)-1)</f>
        <v>Samsung</v>
      </c>
      <c r="D412" t="str">
        <f>TRIM(RIGHT(E412,LEN(E412)-FIND("@",SUBSTITUTE(E412,"|","@",LEN(E412)-LEN(SUBSTITUTE(E412,"|",""))))))</f>
        <v>Smartphones</v>
      </c>
      <c r="E412" t="s">
        <v>725</v>
      </c>
      <c r="F412" s="1">
        <v>16999</v>
      </c>
      <c r="G412" s="1">
        <v>24999</v>
      </c>
      <c r="H412" s="6">
        <v>32</v>
      </c>
      <c r="I412">
        <v>4.0999999999999996</v>
      </c>
      <c r="J412" s="1">
        <v>22318</v>
      </c>
    </row>
    <row r="413" spans="1:10">
      <c r="A413" t="s">
        <v>870</v>
      </c>
      <c r="B413" t="s">
        <v>871</v>
      </c>
      <c r="C413" t="str">
        <f>LEFT(B413,FIND(" ",B413)-1)</f>
        <v>Ambrane</v>
      </c>
      <c r="D413" t="str">
        <f>TRIM(RIGHT(E413,LEN(E413)-FIND("@",SUBSTITUTE(E413,"|","@",LEN(E413)-LEN(SUBSTITUTE(E413,"|",""))))))</f>
        <v>Stands</v>
      </c>
      <c r="E413" t="s">
        <v>855</v>
      </c>
      <c r="F413">
        <v>199</v>
      </c>
      <c r="G413">
        <v>499</v>
      </c>
      <c r="H413" s="6">
        <v>6</v>
      </c>
      <c r="I413">
        <v>4.0999999999999996</v>
      </c>
      <c r="J413" s="1">
        <v>1786</v>
      </c>
    </row>
    <row r="414" spans="1:10">
      <c r="A414" t="s">
        <v>872</v>
      </c>
      <c r="B414" t="s">
        <v>873</v>
      </c>
      <c r="C414" t="str">
        <f>LEFT(B414,FIND(" ",B414)-1)</f>
        <v>Ambrane</v>
      </c>
      <c r="D414" t="str">
        <f>TRIM(RIGHT(E414,LEN(E414)-FIND("@",SUBSTITUTE(E414,"|","@",LEN(E414)-LEN(SUBSTITUTE(E414,"|",""))))))</f>
        <v>PowerBanks</v>
      </c>
      <c r="E414" t="s">
        <v>721</v>
      </c>
      <c r="F414">
        <v>999</v>
      </c>
      <c r="G414" s="1">
        <v>1599</v>
      </c>
      <c r="H414" s="6">
        <v>38</v>
      </c>
      <c r="I414">
        <v>4</v>
      </c>
      <c r="J414" s="1">
        <v>7222</v>
      </c>
    </row>
    <row r="415" spans="1:10">
      <c r="A415" t="s">
        <v>874</v>
      </c>
      <c r="B415" t="s">
        <v>875</v>
      </c>
      <c r="C415" t="str">
        <f>LEFT(B415,FIND(" ",B415)-1)</f>
        <v>Nokia</v>
      </c>
      <c r="D415" t="str">
        <f>TRIM(RIGHT(E415,LEN(E415)-FIND("@",SUBSTITUTE(E415,"|","@",LEN(E415)-LEN(SUBSTITUTE(E415,"|",""))))))</f>
        <v>BasicMobiles</v>
      </c>
      <c r="E415" t="s">
        <v>741</v>
      </c>
      <c r="F415" s="1">
        <v>1299</v>
      </c>
      <c r="G415" s="1">
        <v>1599</v>
      </c>
      <c r="H415" s="6">
        <v>19</v>
      </c>
      <c r="I415">
        <v>4</v>
      </c>
      <c r="J415" t="s">
        <v>742</v>
      </c>
    </row>
    <row r="416" spans="1:10">
      <c r="A416" t="s">
        <v>876</v>
      </c>
      <c r="B416" t="s">
        <v>877</v>
      </c>
      <c r="C416" t="str">
        <f>LEFT(B416,FIND(" ",B416)-1)</f>
        <v>PTron</v>
      </c>
      <c r="D416" t="str">
        <f>TRIM(RIGHT(E416,LEN(E416)-FIND("@",SUBSTITUTE(E416,"|","@",LEN(E416)-LEN(SUBSTITUTE(E416,"|",""))))))</f>
        <v>In-Ear</v>
      </c>
      <c r="E416" t="s">
        <v>747</v>
      </c>
      <c r="F416">
        <v>599</v>
      </c>
      <c r="G416" s="1">
        <v>1800</v>
      </c>
      <c r="H416" s="6">
        <v>67</v>
      </c>
      <c r="I416">
        <v>3.5</v>
      </c>
      <c r="J416" s="1">
        <v>83996</v>
      </c>
    </row>
    <row r="417" spans="1:10">
      <c r="A417" t="s">
        <v>878</v>
      </c>
      <c r="B417" t="s">
        <v>879</v>
      </c>
      <c r="C417" t="str">
        <f>LEFT(B417,FIND(" ",B417)-1)</f>
        <v>Samsung</v>
      </c>
      <c r="D417" t="str">
        <f>TRIM(RIGHT(E417,LEN(E417)-FIND("@",SUBSTITUTE(E417,"|","@",LEN(E417)-LEN(SUBSTITUTE(E417,"|",""))))))</f>
        <v>MicroSD</v>
      </c>
      <c r="E417" t="s">
        <v>736</v>
      </c>
      <c r="F417">
        <v>599</v>
      </c>
      <c r="G417" s="1">
        <v>1899</v>
      </c>
      <c r="H417" s="6">
        <v>68</v>
      </c>
      <c r="I417">
        <v>4.3</v>
      </c>
      <c r="J417" t="s">
        <v>842</v>
      </c>
    </row>
    <row r="418" spans="1:10">
      <c r="A418" t="s">
        <v>880</v>
      </c>
      <c r="B418" t="s">
        <v>881</v>
      </c>
      <c r="C418" t="str">
        <f>LEFT(B418,FIND(" ",B418)-1)</f>
        <v>Ambrane</v>
      </c>
      <c r="D418" t="str">
        <f>TRIM(RIGHT(E418,LEN(E418)-FIND("@",SUBSTITUTE(E418,"|","@",LEN(E418)-LEN(SUBSTITUTE(E418,"|",""))))))</f>
        <v>PowerBanks</v>
      </c>
      <c r="E418" t="s">
        <v>721</v>
      </c>
      <c r="F418" s="1">
        <v>1799</v>
      </c>
      <c r="G418" s="1">
        <v>2499</v>
      </c>
      <c r="H418" s="6">
        <v>28</v>
      </c>
      <c r="I418">
        <v>4.0999999999999996</v>
      </c>
      <c r="J418" s="1">
        <v>18678</v>
      </c>
    </row>
    <row r="419" spans="1:10">
      <c r="A419" t="s">
        <v>34</v>
      </c>
      <c r="B419" t="s">
        <v>35</v>
      </c>
      <c r="C419" t="str">
        <f>LEFT(B419,FIND(" ",B419)-1)</f>
        <v>boAt</v>
      </c>
      <c r="D419" t="str">
        <f>TRIM(RIGHT(E419,LEN(E419)-FIND("@",SUBSTITUTE(E419,"|","@",LEN(E419)-LEN(SUBSTITUTE(E419,"|",""))))))</f>
        <v>USBCables</v>
      </c>
      <c r="E419" t="s">
        <v>23</v>
      </c>
      <c r="F419">
        <v>176.63</v>
      </c>
      <c r="G419">
        <v>499</v>
      </c>
      <c r="H419" s="6">
        <v>65</v>
      </c>
      <c r="I419">
        <v>4.0999999999999996</v>
      </c>
      <c r="J419" s="1">
        <v>15189</v>
      </c>
    </row>
    <row r="420" spans="1:10">
      <c r="A420" t="s">
        <v>882</v>
      </c>
      <c r="B420" t="s">
        <v>883</v>
      </c>
      <c r="C420" t="str">
        <f>LEFT(B420,FIND(" ",B420)-1)</f>
        <v>Samsung</v>
      </c>
      <c r="D420" t="str">
        <f>TRIM(RIGHT(E420,LEN(E420)-FIND("@",SUBSTITUTE(E420,"|","@",LEN(E420)-LEN(SUBSTITUTE(E420,"|",""))))))</f>
        <v>Smartphones</v>
      </c>
      <c r="E420" t="s">
        <v>725</v>
      </c>
      <c r="F420" s="1">
        <v>10999</v>
      </c>
      <c r="G420" s="1">
        <v>14999</v>
      </c>
      <c r="H420" s="6">
        <v>27</v>
      </c>
      <c r="I420">
        <v>4.0999999999999996</v>
      </c>
      <c r="J420" s="1">
        <v>18998</v>
      </c>
    </row>
    <row r="421" spans="1:10">
      <c r="A421" t="s">
        <v>884</v>
      </c>
      <c r="B421" t="s">
        <v>885</v>
      </c>
      <c r="C421" t="str">
        <f>LEFT(B421,FIND(" ",B421)-1)</f>
        <v>boAt</v>
      </c>
      <c r="D421" t="str">
        <f>TRIM(RIGHT(E421,LEN(E421)-FIND("@",SUBSTITUTE(E421,"|","@",LEN(E421)-LEN(SUBSTITUTE(E421,"|",""))))))</f>
        <v>SmartWatches</v>
      </c>
      <c r="E421" t="s">
        <v>714</v>
      </c>
      <c r="F421" s="1">
        <v>2999</v>
      </c>
      <c r="G421" s="1">
        <v>7990</v>
      </c>
      <c r="H421" s="6">
        <v>62</v>
      </c>
      <c r="I421">
        <v>4.0999999999999996</v>
      </c>
      <c r="J421" s="1">
        <v>48449</v>
      </c>
    </row>
    <row r="422" spans="1:10">
      <c r="A422" t="s">
        <v>886</v>
      </c>
      <c r="B422" t="s">
        <v>887</v>
      </c>
      <c r="C422" t="str">
        <f>LEFT(B422,FIND(" ",B422)-1)</f>
        <v>boAt</v>
      </c>
      <c r="D422" t="str">
        <f>TRIM(RIGHT(E422,LEN(E422)-FIND("@",SUBSTITUTE(E422,"|","@",LEN(E422)-LEN(SUBSTITUTE(E422,"|",""))))))</f>
        <v>SmartWatches</v>
      </c>
      <c r="E422" t="s">
        <v>714</v>
      </c>
      <c r="F422" s="1">
        <v>1999</v>
      </c>
      <c r="G422" s="1">
        <v>7990</v>
      </c>
      <c r="H422" s="6">
        <v>75</v>
      </c>
      <c r="I422">
        <v>3.8</v>
      </c>
      <c r="J422" s="1">
        <v>17831</v>
      </c>
    </row>
    <row r="423" spans="1:10">
      <c r="A423" t="s">
        <v>888</v>
      </c>
      <c r="B423" t="s">
        <v>889</v>
      </c>
      <c r="C423" t="str">
        <f>LEFT(B423,FIND(" ",B423)-1)</f>
        <v>MI</v>
      </c>
      <c r="D423" t="str">
        <f>TRIM(RIGHT(E423,LEN(E423)-FIND("@",SUBSTITUTE(E423,"|","@",LEN(E423)-LEN(SUBSTITUTE(E423,"|",""))))))</f>
        <v>WallChargers</v>
      </c>
      <c r="E423" t="s">
        <v>774</v>
      </c>
      <c r="F423">
        <v>649</v>
      </c>
      <c r="G423">
        <v>999</v>
      </c>
      <c r="H423" s="6">
        <v>35</v>
      </c>
      <c r="I423">
        <v>4.2</v>
      </c>
      <c r="J423" s="1">
        <v>1315</v>
      </c>
    </row>
    <row r="424" spans="1:10">
      <c r="A424" t="s">
        <v>890</v>
      </c>
      <c r="B424" t="s">
        <v>846</v>
      </c>
      <c r="C424" t="str">
        <f>LEFT(B424,FIND(" ",B424)-1)</f>
        <v>Samsung</v>
      </c>
      <c r="D424" t="str">
        <f>TRIM(RIGHT(E424,LEN(E424)-FIND("@",SUBSTITUTE(E424,"|","@",LEN(E424)-LEN(SUBSTITUTE(E424,"|",""))))))</f>
        <v>Smartphones</v>
      </c>
      <c r="E424" t="s">
        <v>725</v>
      </c>
      <c r="F424" s="1">
        <v>13999</v>
      </c>
      <c r="G424" s="1">
        <v>19499</v>
      </c>
      <c r="H424" s="6">
        <v>28</v>
      </c>
      <c r="I424">
        <v>4.0999999999999996</v>
      </c>
      <c r="J424" s="1">
        <v>18998</v>
      </c>
    </row>
    <row r="425" spans="1:10">
      <c r="A425" t="s">
        <v>891</v>
      </c>
      <c r="B425" t="s">
        <v>892</v>
      </c>
      <c r="C425" t="str">
        <f>LEFT(B425,FIND(" ",B425)-1)</f>
        <v>Gizga</v>
      </c>
      <c r="D425" t="str">
        <f>TRIM(RIGHT(E425,LEN(E425)-FIND("@",SUBSTITUTE(E425,"|","@",LEN(E425)-LEN(SUBSTITUTE(E425,"|",""))))))</f>
        <v>DÃ©cor</v>
      </c>
      <c r="E425" t="s">
        <v>893</v>
      </c>
      <c r="F425">
        <v>119</v>
      </c>
      <c r="G425">
        <v>299</v>
      </c>
      <c r="H425" s="6">
        <v>6</v>
      </c>
      <c r="I425">
        <v>4.0999999999999996</v>
      </c>
      <c r="J425" s="1">
        <v>5999</v>
      </c>
    </row>
    <row r="426" spans="1:10">
      <c r="A426" t="s">
        <v>894</v>
      </c>
      <c r="B426" t="s">
        <v>895</v>
      </c>
      <c r="C426" t="str">
        <f>LEFT(B426,FIND(" ",B426)-1)</f>
        <v>Redmi</v>
      </c>
      <c r="D426" t="str">
        <f>TRIM(RIGHT(E426,LEN(E426)-FIND("@",SUBSTITUTE(E426,"|","@",LEN(E426)-LEN(SUBSTITUTE(E426,"|",""))))))</f>
        <v>Smartphones</v>
      </c>
      <c r="E426" t="s">
        <v>725</v>
      </c>
      <c r="F426" s="1">
        <v>12999</v>
      </c>
      <c r="G426" s="1">
        <v>17999</v>
      </c>
      <c r="H426" s="6">
        <v>28</v>
      </c>
      <c r="I426">
        <v>4.0999999999999996</v>
      </c>
      <c r="J426" s="1">
        <v>50772</v>
      </c>
    </row>
    <row r="427" spans="1:10">
      <c r="A427" t="s">
        <v>896</v>
      </c>
      <c r="B427" t="s">
        <v>897</v>
      </c>
      <c r="C427" t="str">
        <f>LEFT(B427,FIND(" ",B427)-1)</f>
        <v>Redmi</v>
      </c>
      <c r="D427" t="str">
        <f>TRIM(RIGHT(E427,LEN(E427)-FIND("@",SUBSTITUTE(E427,"|","@",LEN(E427)-LEN(SUBSTITUTE(E427,"|",""))))))</f>
        <v>Smartphones</v>
      </c>
      <c r="E427" t="s">
        <v>725</v>
      </c>
      <c r="F427" s="1">
        <v>20999</v>
      </c>
      <c r="G427" s="1">
        <v>26999</v>
      </c>
      <c r="H427" s="6">
        <v>22</v>
      </c>
      <c r="I427">
        <v>3.9</v>
      </c>
      <c r="J427" s="1">
        <v>25824</v>
      </c>
    </row>
    <row r="428" spans="1:10">
      <c r="A428" t="s">
        <v>898</v>
      </c>
      <c r="B428" t="s">
        <v>899</v>
      </c>
      <c r="C428" t="str">
        <f>LEFT(B428,FIND(" ",B428)-1)</f>
        <v>USB</v>
      </c>
      <c r="D428" t="str">
        <f>TRIM(RIGHT(E428,LEN(E428)-FIND("@",SUBSTITUTE(E428,"|","@",LEN(E428)-LEN(SUBSTITUTE(E428,"|",""))))))</f>
        <v>WallChargers</v>
      </c>
      <c r="E428" t="s">
        <v>774</v>
      </c>
      <c r="F428">
        <v>249</v>
      </c>
      <c r="G428">
        <v>649</v>
      </c>
      <c r="H428" s="6">
        <v>62</v>
      </c>
      <c r="I428">
        <v>4</v>
      </c>
      <c r="J428" s="1">
        <v>14404</v>
      </c>
    </row>
    <row r="429" spans="1:10">
      <c r="A429" t="s">
        <v>900</v>
      </c>
      <c r="B429" t="s">
        <v>901</v>
      </c>
      <c r="C429" t="str">
        <f>LEFT(B429,FIND(" ",B429)-1)</f>
        <v>Goldmedal</v>
      </c>
      <c r="D429" t="str">
        <f>TRIM(RIGHT(E429,LEN(E429)-FIND("@",SUBSTITUTE(E429,"|","@",LEN(E429)-LEN(SUBSTITUTE(E429,"|",""))))))</f>
        <v>WallChargers</v>
      </c>
      <c r="E429" t="s">
        <v>774</v>
      </c>
      <c r="F429">
        <v>99</v>
      </c>
      <c r="G429">
        <v>171</v>
      </c>
      <c r="H429" s="6">
        <v>42</v>
      </c>
      <c r="I429">
        <v>4.5</v>
      </c>
      <c r="J429" s="1">
        <v>11339</v>
      </c>
    </row>
    <row r="430" spans="1:10">
      <c r="A430" t="s">
        <v>902</v>
      </c>
      <c r="B430" t="s">
        <v>903</v>
      </c>
      <c r="C430" t="str">
        <f>LEFT(B430,FIND(" ",B430)-1)</f>
        <v>WeCool</v>
      </c>
      <c r="D430" t="str">
        <f>TRIM(RIGHT(E430,LEN(E430)-FIND("@",SUBSTITUTE(E430,"|","@",LEN(E430)-LEN(SUBSTITUTE(E430,"|",""))))))</f>
        <v>Cradles</v>
      </c>
      <c r="E430" t="s">
        <v>771</v>
      </c>
      <c r="F430">
        <v>489</v>
      </c>
      <c r="G430" s="1">
        <v>1999</v>
      </c>
      <c r="H430" s="6">
        <v>76</v>
      </c>
      <c r="I430">
        <v>4</v>
      </c>
      <c r="J430" s="1">
        <v>3626</v>
      </c>
    </row>
    <row r="431" spans="1:10">
      <c r="A431" t="s">
        <v>904</v>
      </c>
      <c r="B431" t="s">
        <v>905</v>
      </c>
      <c r="C431" t="str">
        <f>LEFT(B431,FIND(" ",B431)-1)</f>
        <v>HP</v>
      </c>
      <c r="D431" t="str">
        <f>TRIM(RIGHT(E431,LEN(E431)-FIND("@",SUBSTITUTE(E431,"|","@",LEN(E431)-LEN(SUBSTITUTE(E431,"|",""))))))</f>
        <v>MicroSD</v>
      </c>
      <c r="E431" t="s">
        <v>736</v>
      </c>
      <c r="F431">
        <v>369</v>
      </c>
      <c r="G431" s="1">
        <v>1600</v>
      </c>
      <c r="H431" s="6">
        <v>77</v>
      </c>
      <c r="I431">
        <v>4</v>
      </c>
      <c r="J431" s="1">
        <v>32625</v>
      </c>
    </row>
    <row r="432" spans="1:10">
      <c r="A432" t="s">
        <v>906</v>
      </c>
      <c r="B432" t="s">
        <v>907</v>
      </c>
      <c r="C432" t="str">
        <f>LEFT(B432,FIND(" ",B432)-1)</f>
        <v>iQOO</v>
      </c>
      <c r="D432" t="str">
        <f>TRIM(RIGHT(E432,LEN(E432)-FIND("@",SUBSTITUTE(E432,"|","@",LEN(E432)-LEN(SUBSTITUTE(E432,"|",""))))))</f>
        <v>Smartphones</v>
      </c>
      <c r="E432" t="s">
        <v>725</v>
      </c>
      <c r="F432" s="1">
        <v>15499</v>
      </c>
      <c r="G432" s="1">
        <v>20999</v>
      </c>
      <c r="H432" s="6">
        <v>26</v>
      </c>
      <c r="I432">
        <v>4.0999999999999996</v>
      </c>
      <c r="J432" s="1">
        <v>19252</v>
      </c>
    </row>
    <row r="433" spans="1:10">
      <c r="A433" t="s">
        <v>908</v>
      </c>
      <c r="B433" t="s">
        <v>909</v>
      </c>
      <c r="C433" t="str">
        <f>LEFT(B433,FIND(" ",B433)-1)</f>
        <v>iQOO</v>
      </c>
      <c r="D433" t="str">
        <f>TRIM(RIGHT(E433,LEN(E433)-FIND("@",SUBSTITUTE(E433,"|","@",LEN(E433)-LEN(SUBSTITUTE(E433,"|",""))))))</f>
        <v>Smartphones</v>
      </c>
      <c r="E433" t="s">
        <v>725</v>
      </c>
      <c r="F433" s="1">
        <v>15499</v>
      </c>
      <c r="G433" s="1">
        <v>18999</v>
      </c>
      <c r="H433" s="6">
        <v>18</v>
      </c>
      <c r="I433">
        <v>4.0999999999999996</v>
      </c>
      <c r="J433" s="1">
        <v>19252</v>
      </c>
    </row>
    <row r="434" spans="1:10">
      <c r="A434" t="s">
        <v>910</v>
      </c>
      <c r="B434" t="s">
        <v>911</v>
      </c>
      <c r="C434" t="str">
        <f>LEFT(B434,FIND(" ",B434)-1)</f>
        <v>Redmi</v>
      </c>
      <c r="D434" t="str">
        <f>TRIM(RIGHT(E434,LEN(E434)-FIND("@",SUBSTITUTE(E434,"|","@",LEN(E434)-LEN(SUBSTITUTE(E434,"|",""))))))</f>
        <v>Smartphones</v>
      </c>
      <c r="E434" t="s">
        <v>725</v>
      </c>
      <c r="F434" s="1">
        <v>22999</v>
      </c>
      <c r="G434" s="1">
        <v>28999</v>
      </c>
      <c r="H434" s="6">
        <v>21</v>
      </c>
      <c r="I434">
        <v>3.9</v>
      </c>
      <c r="J434" s="1">
        <v>25824</v>
      </c>
    </row>
    <row r="435" spans="1:10">
      <c r="A435" t="s">
        <v>912</v>
      </c>
      <c r="B435" t="s">
        <v>913</v>
      </c>
      <c r="C435" t="str">
        <f>LEFT(B435,FIND(" ",B435)-1)</f>
        <v>boAt</v>
      </c>
      <c r="D435" t="str">
        <f>TRIM(RIGHT(E435,LEN(E435)-FIND("@",SUBSTITUTE(E435,"|","@",LEN(E435)-LEN(SUBSTITUTE(E435,"|",""))))))</f>
        <v>In-Ear</v>
      </c>
      <c r="E435" t="s">
        <v>747</v>
      </c>
      <c r="F435">
        <v>599</v>
      </c>
      <c r="G435" s="1">
        <v>1490</v>
      </c>
      <c r="H435" s="6">
        <v>6</v>
      </c>
      <c r="I435">
        <v>4.0999999999999996</v>
      </c>
      <c r="J435" t="s">
        <v>914</v>
      </c>
    </row>
    <row r="436" spans="1:10">
      <c r="A436" t="s">
        <v>915</v>
      </c>
      <c r="B436" t="s">
        <v>916</v>
      </c>
      <c r="C436" t="str">
        <f>LEFT(B436,FIND(" ",B436)-1)</f>
        <v>Portronics</v>
      </c>
      <c r="D436" t="str">
        <f>TRIM(RIGHT(E436,LEN(E436)-FIND("@",SUBSTITUTE(E436,"|","@",LEN(E436)-LEN(SUBSTITUTE(E436,"|",""))))))</f>
        <v>Stands</v>
      </c>
      <c r="E436" t="s">
        <v>855</v>
      </c>
      <c r="F436">
        <v>134</v>
      </c>
      <c r="G436">
        <v>699</v>
      </c>
      <c r="H436" s="6">
        <v>81</v>
      </c>
      <c r="I436">
        <v>4.0999999999999996</v>
      </c>
      <c r="J436" s="1">
        <v>16685</v>
      </c>
    </row>
    <row r="437" spans="1:10">
      <c r="A437" t="s">
        <v>917</v>
      </c>
      <c r="B437" t="s">
        <v>918</v>
      </c>
      <c r="C437" t="str">
        <f>LEFT(B437,FIND(" ",B437)-1)</f>
        <v>realme</v>
      </c>
      <c r="D437" t="str">
        <f>TRIM(RIGHT(E437,LEN(E437)-FIND("@",SUBSTITUTE(E437,"|","@",LEN(E437)-LEN(SUBSTITUTE(E437,"|",""))))))</f>
        <v>Smartphones</v>
      </c>
      <c r="E437" t="s">
        <v>725</v>
      </c>
      <c r="F437" s="1">
        <v>7499</v>
      </c>
      <c r="G437" s="1">
        <v>7999</v>
      </c>
      <c r="H437" s="6">
        <v>6</v>
      </c>
      <c r="I437">
        <v>4</v>
      </c>
      <c r="J437" s="1">
        <v>30907</v>
      </c>
    </row>
    <row r="438" spans="1:10">
      <c r="A438" t="s">
        <v>919</v>
      </c>
      <c r="B438" t="s">
        <v>920</v>
      </c>
      <c r="C438" t="str">
        <f>LEFT(B438,FIND(" ",B438)-1)</f>
        <v>MI</v>
      </c>
      <c r="D438" t="str">
        <f>TRIM(RIGHT(E438,LEN(E438)-FIND("@",SUBSTITUTE(E438,"|","@",LEN(E438)-LEN(SUBSTITUTE(E438,"|",""))))))</f>
        <v>PowerBanks</v>
      </c>
      <c r="E438" t="s">
        <v>721</v>
      </c>
      <c r="F438" s="1">
        <v>1149</v>
      </c>
      <c r="G438" s="1">
        <v>2199</v>
      </c>
      <c r="H438" s="6">
        <v>48</v>
      </c>
      <c r="I438">
        <v>4.3</v>
      </c>
      <c r="J438" t="s">
        <v>722</v>
      </c>
    </row>
    <row r="439" spans="1:10">
      <c r="A439" t="s">
        <v>921</v>
      </c>
      <c r="B439" t="s">
        <v>922</v>
      </c>
      <c r="C439" t="str">
        <f>LEFT(B439,FIND(" ",B439)-1)</f>
        <v>Nokia</v>
      </c>
      <c r="D439" t="str">
        <f>TRIM(RIGHT(E439,LEN(E439)-FIND("@",SUBSTITUTE(E439,"|","@",LEN(E439)-LEN(SUBSTITUTE(E439,"|",""))))))</f>
        <v>BasicMobiles</v>
      </c>
      <c r="E439" t="s">
        <v>741</v>
      </c>
      <c r="F439" s="1">
        <v>1324</v>
      </c>
      <c r="G439" s="1">
        <v>1699</v>
      </c>
      <c r="H439" s="6">
        <v>22</v>
      </c>
      <c r="I439">
        <v>4</v>
      </c>
      <c r="J439" t="s">
        <v>742</v>
      </c>
    </row>
    <row r="440" spans="1:10">
      <c r="A440" t="s">
        <v>923</v>
      </c>
      <c r="B440" t="s">
        <v>924</v>
      </c>
      <c r="C440" t="str">
        <f>LEFT(B440,FIND(" ",B440)-1)</f>
        <v>iQOO</v>
      </c>
      <c r="D440" t="str">
        <f>TRIM(RIGHT(E440,LEN(E440)-FIND("@",SUBSTITUTE(E440,"|","@",LEN(E440)-LEN(SUBSTITUTE(E440,"|",""))))))</f>
        <v>Smartphones</v>
      </c>
      <c r="E440" t="s">
        <v>725</v>
      </c>
      <c r="F440" s="1">
        <v>13999</v>
      </c>
      <c r="G440" s="1">
        <v>19999</v>
      </c>
      <c r="H440" s="6">
        <v>3</v>
      </c>
      <c r="I440">
        <v>4.0999999999999996</v>
      </c>
      <c r="J440" s="1">
        <v>19252</v>
      </c>
    </row>
    <row r="441" spans="1:10">
      <c r="A441" t="s">
        <v>46</v>
      </c>
      <c r="B441" t="s">
        <v>47</v>
      </c>
      <c r="C441" t="str">
        <f>LEFT(B441,FIND(" ",B441)-1)</f>
        <v>boAt</v>
      </c>
      <c r="D441" t="str">
        <f>TRIM(RIGHT(E441,LEN(E441)-FIND("@",SUBSTITUTE(E441,"|","@",LEN(E441)-LEN(SUBSTITUTE(E441,"|",""))))))</f>
        <v>USBCables</v>
      </c>
      <c r="E441" t="s">
        <v>23</v>
      </c>
      <c r="F441">
        <v>299</v>
      </c>
      <c r="G441">
        <v>799</v>
      </c>
      <c r="H441" s="6">
        <v>63</v>
      </c>
      <c r="I441">
        <v>4.2</v>
      </c>
      <c r="J441" s="1">
        <v>94364</v>
      </c>
    </row>
    <row r="442" spans="1:10">
      <c r="A442" t="s">
        <v>925</v>
      </c>
      <c r="B442" t="s">
        <v>926</v>
      </c>
      <c r="C442" t="str">
        <f>LEFT(B442,FIND(" ",B442)-1)</f>
        <v>Ambrane</v>
      </c>
      <c r="D442" t="str">
        <f>TRIM(RIGHT(E442,LEN(E442)-FIND("@",SUBSTITUTE(E442,"|","@",LEN(E442)-LEN(SUBSTITUTE(E442,"|",""))))))</f>
        <v>PowerBanks</v>
      </c>
      <c r="E442" t="s">
        <v>721</v>
      </c>
      <c r="F442">
        <v>999</v>
      </c>
      <c r="G442" s="1">
        <v>1599</v>
      </c>
      <c r="H442" s="6">
        <v>38</v>
      </c>
      <c r="I442">
        <v>4</v>
      </c>
      <c r="J442" s="1">
        <v>7222</v>
      </c>
    </row>
    <row r="443" spans="1:10">
      <c r="A443" t="s">
        <v>927</v>
      </c>
      <c r="B443" t="s">
        <v>928</v>
      </c>
      <c r="C443" t="str">
        <f>LEFT(B443,FIND(" ",B443)-1)</f>
        <v>Samsung</v>
      </c>
      <c r="D443" t="str">
        <f>TRIM(RIGHT(E443,LEN(E443)-FIND("@",SUBSTITUTE(E443,"|","@",LEN(E443)-LEN(SUBSTITUTE(E443,"|",""))))))</f>
        <v>Smartphones</v>
      </c>
      <c r="E443" t="s">
        <v>725</v>
      </c>
      <c r="F443" s="1">
        <v>12999</v>
      </c>
      <c r="G443" s="1">
        <v>17999</v>
      </c>
      <c r="H443" s="6">
        <v>28</v>
      </c>
      <c r="I443">
        <v>4.0999999999999996</v>
      </c>
      <c r="J443" s="1">
        <v>18998</v>
      </c>
    </row>
    <row r="444" spans="1:10">
      <c r="A444" t="s">
        <v>929</v>
      </c>
      <c r="B444" t="s">
        <v>930</v>
      </c>
      <c r="C444" t="str">
        <f>LEFT(B444,FIND(" ",B444)-1)</f>
        <v>OPPO</v>
      </c>
      <c r="D444" t="str">
        <f>TRIM(RIGHT(E444,LEN(E444)-FIND("@",SUBSTITUTE(E444,"|","@",LEN(E444)-LEN(SUBSTITUTE(E444,"|",""))))))</f>
        <v>Smartphones</v>
      </c>
      <c r="E444" t="s">
        <v>725</v>
      </c>
      <c r="F444" s="1">
        <v>15490</v>
      </c>
      <c r="G444" s="1">
        <v>20990</v>
      </c>
      <c r="H444" s="6">
        <v>26</v>
      </c>
      <c r="I444">
        <v>4.2</v>
      </c>
      <c r="J444" s="1">
        <v>32916</v>
      </c>
    </row>
    <row r="445" spans="1:10">
      <c r="A445" t="s">
        <v>931</v>
      </c>
      <c r="B445" t="s">
        <v>932</v>
      </c>
      <c r="C445" t="str">
        <f>LEFT(B445,FIND(" ",B445)-1)</f>
        <v>Spigen</v>
      </c>
      <c r="D445" t="str">
        <f>TRIM(RIGHT(E445,LEN(E445)-FIND("@",SUBSTITUTE(E445,"|","@",LEN(E445)-LEN(SUBSTITUTE(E445,"|",""))))))</f>
        <v>ScreenProtectors</v>
      </c>
      <c r="E445" t="s">
        <v>933</v>
      </c>
      <c r="F445">
        <v>999</v>
      </c>
      <c r="G445" s="1">
        <v>2899</v>
      </c>
      <c r="H445" s="6">
        <v>66</v>
      </c>
      <c r="I445">
        <v>4.5999999999999996</v>
      </c>
      <c r="J445" s="1">
        <v>26603</v>
      </c>
    </row>
    <row r="446" spans="1:10">
      <c r="A446" t="s">
        <v>934</v>
      </c>
      <c r="B446" t="s">
        <v>935</v>
      </c>
      <c r="C446" t="str">
        <f>LEFT(B446,FIND(" ",B446)-1)</f>
        <v>Noise</v>
      </c>
      <c r="D446" t="str">
        <f>TRIM(RIGHT(E446,LEN(E446)-FIND("@",SUBSTITUTE(E446,"|","@",LEN(E446)-LEN(SUBSTITUTE(E446,"|",""))))))</f>
        <v>SmartWatches</v>
      </c>
      <c r="E446" t="s">
        <v>714</v>
      </c>
      <c r="F446" s="1">
        <v>1599</v>
      </c>
      <c r="G446" s="1">
        <v>4999</v>
      </c>
      <c r="H446" s="6">
        <v>68</v>
      </c>
      <c r="I446">
        <v>4</v>
      </c>
      <c r="J446" s="1">
        <v>67950</v>
      </c>
    </row>
    <row r="447" spans="1:10">
      <c r="A447" t="s">
        <v>936</v>
      </c>
      <c r="B447" t="s">
        <v>937</v>
      </c>
      <c r="C447" t="str">
        <f>LEFT(B447,FIND(" ",B447)-1)</f>
        <v>Nokia</v>
      </c>
      <c r="D447" t="str">
        <f>TRIM(RIGHT(E447,LEN(E447)-FIND("@",SUBSTITUTE(E447,"|","@",LEN(E447)-LEN(SUBSTITUTE(E447,"|",""))))))</f>
        <v>BasicMobiles</v>
      </c>
      <c r="E447" t="s">
        <v>741</v>
      </c>
      <c r="F447" s="1">
        <v>1324</v>
      </c>
      <c r="G447" s="1">
        <v>1699</v>
      </c>
      <c r="H447" s="6">
        <v>22</v>
      </c>
      <c r="I447">
        <v>4</v>
      </c>
      <c r="J447" t="s">
        <v>742</v>
      </c>
    </row>
    <row r="448" spans="1:10">
      <c r="A448" t="s">
        <v>938</v>
      </c>
      <c r="B448" t="s">
        <v>939</v>
      </c>
      <c r="C448" t="str">
        <f>LEFT(B448,FIND(" ",B448)-1)</f>
        <v>iQOO</v>
      </c>
      <c r="D448" t="str">
        <f>TRIM(RIGHT(E448,LEN(E448)-FIND("@",SUBSTITUTE(E448,"|","@",LEN(E448)-LEN(SUBSTITUTE(E448,"|",""))))))</f>
        <v>Smartphones</v>
      </c>
      <c r="E448" t="s">
        <v>725</v>
      </c>
      <c r="F448" s="1">
        <v>20999</v>
      </c>
      <c r="G448" s="1">
        <v>29990</v>
      </c>
      <c r="H448" s="6">
        <v>3</v>
      </c>
      <c r="I448">
        <v>4.3</v>
      </c>
      <c r="J448" s="1">
        <v>9499</v>
      </c>
    </row>
    <row r="449" spans="1:10">
      <c r="A449" t="s">
        <v>940</v>
      </c>
      <c r="B449" t="s">
        <v>941</v>
      </c>
      <c r="C449" t="str">
        <f>LEFT(B449,FIND(" ",B449)-1)</f>
        <v>MI</v>
      </c>
      <c r="D449" t="str">
        <f>TRIM(RIGHT(E449,LEN(E449)-FIND("@",SUBSTITUTE(E449,"|","@",LEN(E449)-LEN(SUBSTITUTE(E449,"|",""))))))</f>
        <v>WallChargers</v>
      </c>
      <c r="E449" t="s">
        <v>774</v>
      </c>
      <c r="F449">
        <v>999</v>
      </c>
      <c r="G449" s="1">
        <v>1999</v>
      </c>
      <c r="H449" s="6">
        <v>5</v>
      </c>
      <c r="I449">
        <v>4.3</v>
      </c>
      <c r="J449" s="1">
        <v>1777</v>
      </c>
    </row>
    <row r="450" spans="1:10">
      <c r="A450" t="s">
        <v>942</v>
      </c>
      <c r="B450" t="s">
        <v>943</v>
      </c>
      <c r="C450" t="str">
        <f>LEFT(B450,FIND(" ",B450)-1)</f>
        <v>OPPO</v>
      </c>
      <c r="D450" t="str">
        <f>TRIM(RIGHT(E450,LEN(E450)-FIND("@",SUBSTITUTE(E450,"|","@",LEN(E450)-LEN(SUBSTITUTE(E450,"|",""))))))</f>
        <v>Smartphones</v>
      </c>
      <c r="E450" t="s">
        <v>725</v>
      </c>
      <c r="F450" s="1">
        <v>12490</v>
      </c>
      <c r="G450" s="1">
        <v>15990</v>
      </c>
      <c r="H450" s="6">
        <v>22</v>
      </c>
      <c r="I450">
        <v>4.2</v>
      </c>
      <c r="J450" s="1">
        <v>58506</v>
      </c>
    </row>
    <row r="451" spans="1:10">
      <c r="A451" t="s">
        <v>944</v>
      </c>
      <c r="B451" t="s">
        <v>945</v>
      </c>
      <c r="C451" t="str">
        <f>LEFT(B451,FIND(" ",B451)-1)</f>
        <v>iQOO</v>
      </c>
      <c r="D451" t="str">
        <f>TRIM(RIGHT(E451,LEN(E451)-FIND("@",SUBSTITUTE(E451,"|","@",LEN(E451)-LEN(SUBSTITUTE(E451,"|",""))))))</f>
        <v>Smartphones</v>
      </c>
      <c r="E451" t="s">
        <v>725</v>
      </c>
      <c r="F451" s="1">
        <v>17999</v>
      </c>
      <c r="G451" s="1">
        <v>21990</v>
      </c>
      <c r="H451" s="6">
        <v>18</v>
      </c>
      <c r="I451">
        <v>4</v>
      </c>
      <c r="J451" s="1">
        <v>21350</v>
      </c>
    </row>
    <row r="452" spans="1:10">
      <c r="A452" t="s">
        <v>52</v>
      </c>
      <c r="B452" t="s">
        <v>53</v>
      </c>
      <c r="C452" t="str">
        <f>LEFT(B452,FIND(" ",B452)-1)</f>
        <v>Portronics</v>
      </c>
      <c r="D452" t="str">
        <f>TRIM(RIGHT(E452,LEN(E452)-FIND("@",SUBSTITUTE(E452,"|","@",LEN(E452)-LEN(SUBSTITUTE(E452,"|",""))))))</f>
        <v>USBCables</v>
      </c>
      <c r="E452" t="s">
        <v>23</v>
      </c>
      <c r="F452">
        <v>350</v>
      </c>
      <c r="G452">
        <v>899</v>
      </c>
      <c r="H452" s="6">
        <v>61</v>
      </c>
      <c r="I452">
        <v>4.2</v>
      </c>
      <c r="J452" s="1">
        <v>2263</v>
      </c>
    </row>
    <row r="453" spans="1:10">
      <c r="A453" t="s">
        <v>946</v>
      </c>
      <c r="B453" t="s">
        <v>947</v>
      </c>
      <c r="C453" t="str">
        <f>LEFT(B453,FIND(" ",B453)-1)</f>
        <v>Motorola</v>
      </c>
      <c r="D453" t="str">
        <f>TRIM(RIGHT(E453,LEN(E453)-FIND("@",SUBSTITUTE(E453,"|","@",LEN(E453)-LEN(SUBSTITUTE(E453,"|",""))))))</f>
        <v>BasicMobiles</v>
      </c>
      <c r="E453" t="s">
        <v>741</v>
      </c>
      <c r="F453" s="1">
        <v>1399</v>
      </c>
      <c r="G453" s="1">
        <v>1630</v>
      </c>
      <c r="H453" s="6">
        <v>14</v>
      </c>
      <c r="I453">
        <v>4</v>
      </c>
      <c r="J453" s="1">
        <v>9378</v>
      </c>
    </row>
    <row r="454" spans="1:10">
      <c r="A454" t="s">
        <v>948</v>
      </c>
      <c r="B454" t="s">
        <v>949</v>
      </c>
      <c r="C454" t="str">
        <f>LEFT(B454,FIND(" ",B454)-1)</f>
        <v>boAt</v>
      </c>
      <c r="D454" t="str">
        <f>TRIM(RIGHT(E454,LEN(E454)-FIND("@",SUBSTITUTE(E454,"|","@",LEN(E454)-LEN(SUBSTITUTE(E454,"|",""))))))</f>
        <v>SmartWatches</v>
      </c>
      <c r="E454" t="s">
        <v>714</v>
      </c>
      <c r="F454" s="1">
        <v>1499</v>
      </c>
      <c r="G454" s="1">
        <v>6990</v>
      </c>
      <c r="H454" s="6">
        <v>79</v>
      </c>
      <c r="I454">
        <v>3.9</v>
      </c>
      <c r="J454" s="1">
        <v>21796</v>
      </c>
    </row>
    <row r="455" spans="1:10">
      <c r="A455" t="s">
        <v>950</v>
      </c>
      <c r="B455" t="s">
        <v>951</v>
      </c>
      <c r="C455" t="str">
        <f>LEFT(B455,FIND(" ",B455)-1)</f>
        <v>boAt</v>
      </c>
      <c r="D455" t="str">
        <f>TRIM(RIGHT(E455,LEN(E455)-FIND("@",SUBSTITUTE(E455,"|","@",LEN(E455)-LEN(SUBSTITUTE(E455,"|",""))))))</f>
        <v>SmartWatches</v>
      </c>
      <c r="E455" t="s">
        <v>714</v>
      </c>
      <c r="F455" s="1">
        <v>1999</v>
      </c>
      <c r="G455" s="1">
        <v>7990</v>
      </c>
      <c r="H455" s="6">
        <v>75</v>
      </c>
      <c r="I455">
        <v>3.8</v>
      </c>
      <c r="J455" s="1">
        <v>17833</v>
      </c>
    </row>
    <row r="456" spans="1:10">
      <c r="A456" t="s">
        <v>952</v>
      </c>
      <c r="B456" t="s">
        <v>953</v>
      </c>
      <c r="C456" t="str">
        <f>LEFT(B456,FIND(" ",B456)-1)</f>
        <v>Spigen</v>
      </c>
      <c r="D456" t="str">
        <f>TRIM(RIGHT(E456,LEN(E456)-FIND("@",SUBSTITUTE(E456,"|","@",LEN(E456)-LEN(SUBSTITUTE(E456,"|",""))))))</f>
        <v>ScreenProtectors</v>
      </c>
      <c r="E456" t="s">
        <v>933</v>
      </c>
      <c r="F456">
        <v>999</v>
      </c>
      <c r="G456" s="1">
        <v>2899</v>
      </c>
      <c r="H456" s="6">
        <v>66</v>
      </c>
      <c r="I456">
        <v>4.7</v>
      </c>
      <c r="J456" s="1">
        <v>7779</v>
      </c>
    </row>
    <row r="457" spans="1:10">
      <c r="A457" t="s">
        <v>954</v>
      </c>
      <c r="B457" t="s">
        <v>955</v>
      </c>
      <c r="C457" t="str">
        <f>LEFT(B457,FIND(" ",B457)-1)</f>
        <v>KINGONE</v>
      </c>
      <c r="D457" t="str">
        <f>TRIM(RIGHT(E457,LEN(E457)-FIND("@",SUBSTITUTE(E457,"|","@",LEN(E457)-LEN(SUBSTITUTE(E457,"|",""))))))</f>
        <v>StylusPens</v>
      </c>
      <c r="E457" t="s">
        <v>956</v>
      </c>
      <c r="F457" s="1">
        <v>2099</v>
      </c>
      <c r="G457" s="1">
        <v>5999</v>
      </c>
      <c r="H457" s="6">
        <v>65</v>
      </c>
      <c r="I457">
        <v>4.3</v>
      </c>
      <c r="J457" s="1">
        <v>17129</v>
      </c>
    </row>
    <row r="458" spans="1:10">
      <c r="A458" t="s">
        <v>957</v>
      </c>
      <c r="B458" t="s">
        <v>958</v>
      </c>
      <c r="C458" t="str">
        <f>LEFT(B458,FIND(" ",B458)-1)</f>
        <v>Portronics</v>
      </c>
      <c r="D458" t="str">
        <f>TRIM(RIGHT(E458,LEN(E458)-FIND("@",SUBSTITUTE(E458,"|","@",LEN(E458)-LEN(SUBSTITUTE(E458,"|",""))))))</f>
        <v>AutomobileChargers</v>
      </c>
      <c r="E458" t="s">
        <v>757</v>
      </c>
      <c r="F458">
        <v>337</v>
      </c>
      <c r="G458">
        <v>699</v>
      </c>
      <c r="H458" s="6">
        <v>52</v>
      </c>
      <c r="I458">
        <v>4.2</v>
      </c>
      <c r="J458" s="1">
        <v>4969</v>
      </c>
    </row>
    <row r="459" spans="1:10">
      <c r="A459" t="s">
        <v>959</v>
      </c>
      <c r="B459" t="s">
        <v>960</v>
      </c>
      <c r="C459" t="str">
        <f>LEFT(B459,FIND(" ",B459)-1)</f>
        <v>boAt</v>
      </c>
      <c r="D459" t="str">
        <f>TRIM(RIGHT(E459,LEN(E459)-FIND("@",SUBSTITUTE(E459,"|","@",LEN(E459)-LEN(SUBSTITUTE(E459,"|",""))))))</f>
        <v>SmartWatches</v>
      </c>
      <c r="E459" t="s">
        <v>714</v>
      </c>
      <c r="F459" s="1">
        <v>2999</v>
      </c>
      <c r="G459" s="1">
        <v>7990</v>
      </c>
      <c r="H459" s="6">
        <v>62</v>
      </c>
      <c r="I459">
        <v>4.0999999999999996</v>
      </c>
      <c r="J459">
        <v>154</v>
      </c>
    </row>
    <row r="460" spans="1:10">
      <c r="A460" t="s">
        <v>961</v>
      </c>
      <c r="B460" t="s">
        <v>962</v>
      </c>
      <c r="C460" t="str">
        <f>LEFT(B460,FIND(" ",B460)-1)</f>
        <v>PTron</v>
      </c>
      <c r="D460" t="str">
        <f>TRIM(RIGHT(E460,LEN(E460)-FIND("@",SUBSTITUTE(E460,"|","@",LEN(E460)-LEN(SUBSTITUTE(E460,"|",""))))))</f>
        <v>SmartWatches</v>
      </c>
      <c r="E460" t="s">
        <v>714</v>
      </c>
      <c r="F460" s="1">
        <v>1299</v>
      </c>
      <c r="G460" s="1">
        <v>5999</v>
      </c>
      <c r="H460" s="6">
        <v>78</v>
      </c>
      <c r="I460">
        <v>3.3</v>
      </c>
      <c r="J460" s="1">
        <v>4415</v>
      </c>
    </row>
    <row r="461" spans="1:10">
      <c r="A461" t="s">
        <v>963</v>
      </c>
      <c r="B461" t="s">
        <v>964</v>
      </c>
      <c r="C461" t="str">
        <f>LEFT(B461,FIND(" ",B461)-1)</f>
        <v>iQOO</v>
      </c>
      <c r="D461" t="str">
        <f>TRIM(RIGHT(E461,LEN(E461)-FIND("@",SUBSTITUTE(E461,"|","@",LEN(E461)-LEN(SUBSTITUTE(E461,"|",""))))))</f>
        <v>Smartphones</v>
      </c>
      <c r="E461" t="s">
        <v>725</v>
      </c>
      <c r="F461" s="1">
        <v>16499</v>
      </c>
      <c r="G461" s="1">
        <v>20990</v>
      </c>
      <c r="H461" s="6">
        <v>21</v>
      </c>
      <c r="I461">
        <v>4</v>
      </c>
      <c r="J461" s="1">
        <v>21350</v>
      </c>
    </row>
    <row r="462" spans="1:10">
      <c r="A462" t="s">
        <v>965</v>
      </c>
      <c r="B462" t="s">
        <v>966</v>
      </c>
      <c r="C462" t="str">
        <f>LEFT(B462,FIND(" ",B462)-1)</f>
        <v>Samsung</v>
      </c>
      <c r="D462" t="str">
        <f>TRIM(RIGHT(E462,LEN(E462)-FIND("@",SUBSTITUTE(E462,"|","@",LEN(E462)-LEN(SUBSTITUTE(E462,"|",""))))))</f>
        <v>In-Ear</v>
      </c>
      <c r="E462" t="s">
        <v>747</v>
      </c>
      <c r="F462">
        <v>499</v>
      </c>
      <c r="G462">
        <v>499</v>
      </c>
      <c r="H462" s="6">
        <v>0</v>
      </c>
      <c r="I462">
        <v>4.2</v>
      </c>
      <c r="J462" s="1">
        <v>31539</v>
      </c>
    </row>
    <row r="463" spans="1:10">
      <c r="A463" t="s">
        <v>967</v>
      </c>
      <c r="B463" t="s">
        <v>968</v>
      </c>
      <c r="C463" t="str">
        <f>LEFT(B463,FIND(" ",B463)-1)</f>
        <v>Spigen</v>
      </c>
      <c r="D463" t="str">
        <f>TRIM(RIGHT(E463,LEN(E463)-FIND("@",SUBSTITUTE(E463,"|","@",LEN(E463)-LEN(SUBSTITUTE(E463,"|",""))))))</f>
        <v>ScreenProtectors</v>
      </c>
      <c r="E463" t="s">
        <v>933</v>
      </c>
      <c r="F463">
        <v>999</v>
      </c>
      <c r="G463" s="1">
        <v>2899</v>
      </c>
      <c r="H463" s="6">
        <v>66</v>
      </c>
      <c r="I463">
        <v>4.5999999999999996</v>
      </c>
      <c r="J463" s="1">
        <v>6129</v>
      </c>
    </row>
    <row r="464" spans="1:10">
      <c r="A464" t="s">
        <v>969</v>
      </c>
      <c r="B464" t="s">
        <v>970</v>
      </c>
      <c r="C464" t="str">
        <f>LEFT(B464,FIND(" ",B464)-1)</f>
        <v>Samsung</v>
      </c>
      <c r="D464" t="str">
        <f>TRIM(RIGHT(E464,LEN(E464)-FIND("@",SUBSTITUTE(E464,"|","@",LEN(E464)-LEN(SUBSTITUTE(E464,"|",""))))))</f>
        <v>Smartphones</v>
      </c>
      <c r="E464" t="s">
        <v>725</v>
      </c>
      <c r="F464" s="1">
        <v>10499</v>
      </c>
      <c r="G464" s="1">
        <v>13499</v>
      </c>
      <c r="H464" s="6">
        <v>22</v>
      </c>
      <c r="I464">
        <v>4.2</v>
      </c>
      <c r="J464">
        <v>284</v>
      </c>
    </row>
    <row r="465" spans="1:10">
      <c r="A465" t="s">
        <v>971</v>
      </c>
      <c r="B465" t="s">
        <v>972</v>
      </c>
      <c r="C465" t="str">
        <f>LEFT(B465,FIND(" ",B465)-1)</f>
        <v>SWAPKART</v>
      </c>
      <c r="D465" t="str">
        <f>TRIM(RIGHT(E465,LEN(E465)-FIND("@",SUBSTITUTE(E465,"|","@",LEN(E465)-LEN(SUBSTITUTE(E465,"|",""))))))</f>
        <v>Bedstand&amp;DeskMounts</v>
      </c>
      <c r="E465" t="s">
        <v>973</v>
      </c>
      <c r="F465">
        <v>251</v>
      </c>
      <c r="G465">
        <v>999</v>
      </c>
      <c r="H465" s="6">
        <v>75</v>
      </c>
      <c r="I465">
        <v>3.7</v>
      </c>
      <c r="J465" s="1">
        <v>3234</v>
      </c>
    </row>
    <row r="466" spans="1:10">
      <c r="A466" t="s">
        <v>974</v>
      </c>
      <c r="B466" t="s">
        <v>975</v>
      </c>
      <c r="C466" t="str">
        <f>LEFT(B466,FIND(" ",B466)-1)</f>
        <v>Redmi</v>
      </c>
      <c r="D466" t="str">
        <f>TRIM(RIGHT(E466,LEN(E466)-FIND("@",SUBSTITUTE(E466,"|","@",LEN(E466)-LEN(SUBSTITUTE(E466,"|",""))))))</f>
        <v>Smartphones</v>
      </c>
      <c r="E466" t="s">
        <v>725</v>
      </c>
      <c r="F466" s="1">
        <v>6499</v>
      </c>
      <c r="G466" s="1">
        <v>7999</v>
      </c>
      <c r="H466" s="6">
        <v>19</v>
      </c>
      <c r="I466">
        <v>4.0999999999999996</v>
      </c>
      <c r="J466" t="s">
        <v>976</v>
      </c>
    </row>
    <row r="467" spans="1:10">
      <c r="A467" t="s">
        <v>977</v>
      </c>
      <c r="B467" t="s">
        <v>978</v>
      </c>
      <c r="C467" t="str">
        <f>LEFT(B467,FIND(" ",B467)-1)</f>
        <v>Fire-Boltt</v>
      </c>
      <c r="D467" t="str">
        <f>TRIM(RIGHT(E467,LEN(E467)-FIND("@",SUBSTITUTE(E467,"|","@",LEN(E467)-LEN(SUBSTITUTE(E467,"|",""))))))</f>
        <v>SmartWatches</v>
      </c>
      <c r="E467" t="s">
        <v>714</v>
      </c>
      <c r="F467" s="1">
        <v>2999</v>
      </c>
      <c r="G467" s="1">
        <v>9999</v>
      </c>
      <c r="H467" s="6">
        <v>7</v>
      </c>
      <c r="I467">
        <v>4.2</v>
      </c>
      <c r="J467" s="1">
        <v>20879</v>
      </c>
    </row>
    <row r="468" spans="1:10">
      <c r="A468" t="s">
        <v>979</v>
      </c>
      <c r="B468" t="s">
        <v>980</v>
      </c>
      <c r="C468" t="str">
        <f>LEFT(B468,FIND(" ",B468)-1)</f>
        <v>Amozo</v>
      </c>
      <c r="D468" t="str">
        <f>TRIM(RIGHT(E468,LEN(E468)-FIND("@",SUBSTITUTE(E468,"|","@",LEN(E468)-LEN(SUBSTITUTE(E468,"|",""))))))</f>
        <v>BasicCases</v>
      </c>
      <c r="E468" t="s">
        <v>981</v>
      </c>
      <c r="F468">
        <v>279</v>
      </c>
      <c r="G468" s="1">
        <v>1499</v>
      </c>
      <c r="H468" s="6">
        <v>81</v>
      </c>
      <c r="I468">
        <v>4.2</v>
      </c>
      <c r="J468" s="1">
        <v>2646</v>
      </c>
    </row>
    <row r="469" spans="1:10">
      <c r="A469" t="s">
        <v>982</v>
      </c>
      <c r="B469" t="s">
        <v>983</v>
      </c>
      <c r="C469" t="str">
        <f>LEFT(B469,FIND(" ",B469)-1)</f>
        <v>ELV</v>
      </c>
      <c r="D469" t="str">
        <f>TRIM(RIGHT(E469,LEN(E469)-FIND("@",SUBSTITUTE(E469,"|","@",LEN(E469)-LEN(SUBSTITUTE(E469,"|",""))))))</f>
        <v>Stands</v>
      </c>
      <c r="E469" t="s">
        <v>855</v>
      </c>
      <c r="F469">
        <v>269</v>
      </c>
      <c r="G469" s="1">
        <v>1499</v>
      </c>
      <c r="H469" s="6">
        <v>82</v>
      </c>
      <c r="I469">
        <v>4.5</v>
      </c>
      <c r="J469" s="1">
        <v>28978</v>
      </c>
    </row>
    <row r="470" spans="1:10">
      <c r="A470" t="s">
        <v>984</v>
      </c>
      <c r="B470" t="s">
        <v>985</v>
      </c>
      <c r="C470" t="str">
        <f>LEFT(B470,FIND(" ",B470)-1)</f>
        <v>Tecno</v>
      </c>
      <c r="D470" t="str">
        <f>TRIM(RIGHT(E470,LEN(E470)-FIND("@",SUBSTITUTE(E470,"|","@",LEN(E470)-LEN(SUBSTITUTE(E470,"|",""))))))</f>
        <v>Smartphones</v>
      </c>
      <c r="E470" t="s">
        <v>725</v>
      </c>
      <c r="F470" s="1">
        <v>8999</v>
      </c>
      <c r="G470" s="1">
        <v>13499</v>
      </c>
      <c r="H470" s="6">
        <v>33</v>
      </c>
      <c r="I470">
        <v>3.8</v>
      </c>
      <c r="J470" s="1">
        <v>3145</v>
      </c>
    </row>
    <row r="471" spans="1:10">
      <c r="A471" t="s">
        <v>73</v>
      </c>
      <c r="B471" t="s">
        <v>74</v>
      </c>
      <c r="C471" t="str">
        <f>LEFT(B471,FIND(" ",B471)-1)</f>
        <v>Flix</v>
      </c>
      <c r="D471" t="str">
        <f>TRIM(RIGHT(E471,LEN(E471)-FIND("@",SUBSTITUTE(E471,"|","@",LEN(E471)-LEN(SUBSTITUTE(E471,"|",""))))))</f>
        <v>USBCables</v>
      </c>
      <c r="E471" t="s">
        <v>23</v>
      </c>
      <c r="F471">
        <v>59</v>
      </c>
      <c r="G471">
        <v>199</v>
      </c>
      <c r="H471" s="6">
        <v>7</v>
      </c>
      <c r="I471">
        <v>4</v>
      </c>
      <c r="J471" s="1">
        <v>9377</v>
      </c>
    </row>
    <row r="472" spans="1:10">
      <c r="A472" t="s">
        <v>986</v>
      </c>
      <c r="B472" t="s">
        <v>987</v>
      </c>
      <c r="C472" t="str">
        <f>LEFT(B472,FIND(" ",B472)-1)</f>
        <v>JBL</v>
      </c>
      <c r="D472" t="str">
        <f>TRIM(RIGHT(E472,LEN(E472)-FIND("@",SUBSTITUTE(E472,"|","@",LEN(E472)-LEN(SUBSTITUTE(E472,"|",""))))))</f>
        <v>In-Ear</v>
      </c>
      <c r="E472" t="s">
        <v>747</v>
      </c>
      <c r="F472">
        <v>599</v>
      </c>
      <c r="G472" s="1">
        <v>1299</v>
      </c>
      <c r="H472" s="6">
        <v>54</v>
      </c>
      <c r="I472">
        <v>4.0999999999999996</v>
      </c>
      <c r="J472" t="s">
        <v>988</v>
      </c>
    </row>
    <row r="473" spans="1:10">
      <c r="A473" t="s">
        <v>989</v>
      </c>
      <c r="B473" t="s">
        <v>990</v>
      </c>
      <c r="C473" t="str">
        <f>LEFT(B473,FIND(" ",B473)-1)</f>
        <v>Tukzer</v>
      </c>
      <c r="D473" t="str">
        <f>TRIM(RIGHT(E473,LEN(E473)-FIND("@",SUBSTITUTE(E473,"|","@",LEN(E473)-LEN(SUBSTITUTE(E473,"|",""))))))</f>
        <v>StylusPens</v>
      </c>
      <c r="E473" t="s">
        <v>956</v>
      </c>
      <c r="F473">
        <v>349</v>
      </c>
      <c r="G473">
        <v>999</v>
      </c>
      <c r="H473" s="6">
        <v>65</v>
      </c>
      <c r="I473">
        <v>3.8</v>
      </c>
      <c r="J473" s="1">
        <v>16557</v>
      </c>
    </row>
    <row r="474" spans="1:10">
      <c r="A474" t="s">
        <v>991</v>
      </c>
      <c r="B474" t="s">
        <v>846</v>
      </c>
      <c r="C474" t="str">
        <f>LEFT(B474,FIND(" ",B474)-1)</f>
        <v>Samsung</v>
      </c>
      <c r="D474" t="str">
        <f>TRIM(RIGHT(E474,LEN(E474)-FIND("@",SUBSTITUTE(E474,"|","@",LEN(E474)-LEN(SUBSTITUTE(E474,"|",""))))))</f>
        <v>Smartphones</v>
      </c>
      <c r="E474" t="s">
        <v>725</v>
      </c>
      <c r="F474" s="1">
        <v>13999</v>
      </c>
      <c r="G474" s="1">
        <v>19499</v>
      </c>
      <c r="H474" s="6">
        <v>28</v>
      </c>
      <c r="I474">
        <v>4.0999999999999996</v>
      </c>
      <c r="J474" s="1">
        <v>18998</v>
      </c>
    </row>
    <row r="475" spans="1:10">
      <c r="A475" t="s">
        <v>992</v>
      </c>
      <c r="B475" t="s">
        <v>993</v>
      </c>
      <c r="C475" t="str">
        <f>LEFT(B475,FIND(" ",B475)-1)</f>
        <v>Tukzer</v>
      </c>
      <c r="D475" t="str">
        <f>TRIM(RIGHT(E475,LEN(E475)-FIND("@",SUBSTITUTE(E475,"|","@",LEN(E475)-LEN(SUBSTITUTE(E475,"|",""))))))</f>
        <v>StylusPens</v>
      </c>
      <c r="E475" t="s">
        <v>956</v>
      </c>
      <c r="F475">
        <v>349</v>
      </c>
      <c r="G475">
        <v>999</v>
      </c>
      <c r="H475" s="6">
        <v>65</v>
      </c>
      <c r="I475">
        <v>3.8</v>
      </c>
      <c r="J475" s="1">
        <v>16557</v>
      </c>
    </row>
    <row r="476" spans="1:10">
      <c r="A476" t="s">
        <v>994</v>
      </c>
      <c r="B476" t="s">
        <v>995</v>
      </c>
      <c r="C476" t="str">
        <f>LEFT(B476,FIND(" ",B476)-1)</f>
        <v>Mi</v>
      </c>
      <c r="D476" t="str">
        <f>TRIM(RIGHT(E476,LEN(E476)-FIND("@",SUBSTITUTE(E476,"|","@",LEN(E476)-LEN(SUBSTITUTE(E476,"|",""))))))</f>
        <v>WallChargers</v>
      </c>
      <c r="E476" t="s">
        <v>774</v>
      </c>
      <c r="F476">
        <v>499</v>
      </c>
      <c r="G476">
        <v>599</v>
      </c>
      <c r="H476" s="6">
        <v>17</v>
      </c>
      <c r="I476">
        <v>4.2</v>
      </c>
      <c r="J476" s="1">
        <v>21916</v>
      </c>
    </row>
    <row r="477" spans="1:10">
      <c r="A477" t="s">
        <v>996</v>
      </c>
      <c r="B477" t="s">
        <v>787</v>
      </c>
      <c r="C477" t="str">
        <f>LEFT(B477,FIND(" ",B477)-1)</f>
        <v>Fire-Boltt</v>
      </c>
      <c r="D477" t="str">
        <f>TRIM(RIGHT(E477,LEN(E477)-FIND("@",SUBSTITUTE(E477,"|","@",LEN(E477)-LEN(SUBSTITUTE(E477,"|",""))))))</f>
        <v>SmartWatches</v>
      </c>
      <c r="E477" t="s">
        <v>714</v>
      </c>
      <c r="F477" s="1">
        <v>2199</v>
      </c>
      <c r="G477" s="1">
        <v>9999</v>
      </c>
      <c r="H477" s="6">
        <v>78</v>
      </c>
      <c r="I477">
        <v>4.2</v>
      </c>
      <c r="J477" s="1">
        <v>29472</v>
      </c>
    </row>
    <row r="478" spans="1:10">
      <c r="A478" t="s">
        <v>997</v>
      </c>
      <c r="B478" t="s">
        <v>998</v>
      </c>
      <c r="C478" t="str">
        <f>LEFT(B478,FIND(" ",B478)-1)</f>
        <v>STRIFF</v>
      </c>
      <c r="D478" t="str">
        <f>TRIM(RIGHT(E478,LEN(E478)-FIND("@",SUBSTITUTE(E478,"|","@",LEN(E478)-LEN(SUBSTITUTE(E478,"|",""))))))</f>
        <v>DÃ©cor</v>
      </c>
      <c r="E478" t="s">
        <v>893</v>
      </c>
      <c r="F478">
        <v>95</v>
      </c>
      <c r="G478">
        <v>499</v>
      </c>
      <c r="H478" s="6">
        <v>81</v>
      </c>
      <c r="I478">
        <v>4.2</v>
      </c>
      <c r="J478" s="1">
        <v>1949</v>
      </c>
    </row>
    <row r="479" spans="1:10">
      <c r="A479" t="s">
        <v>999</v>
      </c>
      <c r="B479" t="s">
        <v>1000</v>
      </c>
      <c r="C479" t="str">
        <f>LEFT(B479,FIND(" ",B479)-1)</f>
        <v>FLiX</v>
      </c>
      <c r="D479" t="str">
        <f>TRIM(RIGHT(E479,LEN(E479)-FIND("@",SUBSTITUTE(E479,"|","@",LEN(E479)-LEN(SUBSTITUTE(E479,"|",""))))))</f>
        <v>USBCables</v>
      </c>
      <c r="E479" t="s">
        <v>23</v>
      </c>
      <c r="F479">
        <v>139</v>
      </c>
      <c r="G479">
        <v>249</v>
      </c>
      <c r="H479" s="6">
        <v>44</v>
      </c>
      <c r="I479">
        <v>4</v>
      </c>
      <c r="J479" s="1">
        <v>9377</v>
      </c>
    </row>
    <row r="480" spans="1:10">
      <c r="A480" t="s">
        <v>1001</v>
      </c>
      <c r="B480" t="s">
        <v>1002</v>
      </c>
      <c r="C480" t="str">
        <f>LEFT(B480,FIND(" ",B480)-1)</f>
        <v>Noise</v>
      </c>
      <c r="D480" t="str">
        <f>TRIM(RIGHT(E480,LEN(E480)-FIND("@",SUBSTITUTE(E480,"|","@",LEN(E480)-LEN(SUBSTITUTE(E480,"|",""))))))</f>
        <v>SmartWatches</v>
      </c>
      <c r="E480" t="s">
        <v>714</v>
      </c>
      <c r="F480" s="1">
        <v>4499</v>
      </c>
      <c r="G480" s="1">
        <v>7999</v>
      </c>
      <c r="H480" s="6">
        <v>44</v>
      </c>
      <c r="I480">
        <v>3.5</v>
      </c>
      <c r="J480">
        <v>37</v>
      </c>
    </row>
    <row r="481" spans="1:10">
      <c r="A481" t="s">
        <v>1003</v>
      </c>
      <c r="B481" t="s">
        <v>1004</v>
      </c>
      <c r="C481" t="str">
        <f>LEFT(B481,FIND(" ",B481)-1)</f>
        <v>Elv</v>
      </c>
      <c r="D481" t="str">
        <f>TRIM(RIGHT(E481,LEN(E481)-FIND("@",SUBSTITUTE(E481,"|","@",LEN(E481)-LEN(SUBSTITUTE(E481,"|",""))))))</f>
        <v>Stands</v>
      </c>
      <c r="E481" t="s">
        <v>855</v>
      </c>
      <c r="F481">
        <v>89</v>
      </c>
      <c r="G481">
        <v>599</v>
      </c>
      <c r="H481" s="6">
        <v>85</v>
      </c>
      <c r="I481">
        <v>4.3</v>
      </c>
      <c r="J481" s="1">
        <v>2351</v>
      </c>
    </row>
    <row r="482" spans="1:10">
      <c r="A482" t="s">
        <v>1005</v>
      </c>
      <c r="B482" t="s">
        <v>1006</v>
      </c>
      <c r="C482" t="str">
        <f>LEFT(B482,FIND(" ",B482)-1)</f>
        <v>iQOO</v>
      </c>
      <c r="D482" t="str">
        <f>TRIM(RIGHT(E482,LEN(E482)-FIND("@",SUBSTITUTE(E482,"|","@",LEN(E482)-LEN(SUBSTITUTE(E482,"|",""))))))</f>
        <v>Smartphones</v>
      </c>
      <c r="E482" t="s">
        <v>725</v>
      </c>
      <c r="F482" s="1">
        <v>15499</v>
      </c>
      <c r="G482" s="1">
        <v>20999</v>
      </c>
      <c r="H482" s="6">
        <v>26</v>
      </c>
      <c r="I482">
        <v>4.0999999999999996</v>
      </c>
      <c r="J482" s="1">
        <v>19253</v>
      </c>
    </row>
    <row r="483" spans="1:10">
      <c r="A483" t="s">
        <v>1007</v>
      </c>
      <c r="B483" t="s">
        <v>1008</v>
      </c>
      <c r="C483" t="str">
        <f>LEFT(B483,FIND(" ",B483)-1)</f>
        <v>Redmi</v>
      </c>
      <c r="D483" t="str">
        <f>TRIM(RIGHT(E483,LEN(E483)-FIND("@",SUBSTITUTE(E483,"|","@",LEN(E483)-LEN(SUBSTITUTE(E483,"|",""))))))</f>
        <v>Smartphones</v>
      </c>
      <c r="E483" t="s">
        <v>725</v>
      </c>
      <c r="F483" s="1">
        <v>13999</v>
      </c>
      <c r="G483" s="1">
        <v>15999</v>
      </c>
      <c r="H483" s="6">
        <v>13</v>
      </c>
      <c r="I483">
        <v>3.9</v>
      </c>
      <c r="J483" s="1">
        <v>2180</v>
      </c>
    </row>
    <row r="484" spans="1:10">
      <c r="A484" t="s">
        <v>1009</v>
      </c>
      <c r="B484" t="s">
        <v>1010</v>
      </c>
      <c r="C484" t="str">
        <f>LEFT(B484,FIND(" ",B484)-1)</f>
        <v>Noise</v>
      </c>
      <c r="D484" t="str">
        <f>TRIM(RIGHT(E484,LEN(E484)-FIND("@",SUBSTITUTE(E484,"|","@",LEN(E484)-LEN(SUBSTITUTE(E484,"|",""))))))</f>
        <v>SmartWatches</v>
      </c>
      <c r="E484" t="s">
        <v>714</v>
      </c>
      <c r="F484" s="1">
        <v>1999</v>
      </c>
      <c r="G484" s="1">
        <v>4999</v>
      </c>
      <c r="H484" s="6">
        <v>6</v>
      </c>
      <c r="I484">
        <v>3.9</v>
      </c>
      <c r="J484" s="1">
        <v>7571</v>
      </c>
    </row>
    <row r="485" spans="1:10">
      <c r="A485" t="s">
        <v>1011</v>
      </c>
      <c r="B485" t="s">
        <v>1012</v>
      </c>
      <c r="C485" t="str">
        <f>LEFT(B485,FIND(" ",B485)-1)</f>
        <v>PTron</v>
      </c>
      <c r="D485" t="str">
        <f>TRIM(RIGHT(E485,LEN(E485)-FIND("@",SUBSTITUTE(E485,"|","@",LEN(E485)-LEN(SUBSTITUTE(E485,"|",""))))))</f>
        <v>SmartWatches</v>
      </c>
      <c r="E485" t="s">
        <v>714</v>
      </c>
      <c r="F485" s="1">
        <v>1399</v>
      </c>
      <c r="G485" s="1">
        <v>5999</v>
      </c>
      <c r="H485" s="6">
        <v>77</v>
      </c>
      <c r="I485">
        <v>3.3</v>
      </c>
      <c r="J485" s="1">
        <v>4415</v>
      </c>
    </row>
    <row r="486" spans="1:10">
      <c r="A486" t="s">
        <v>1013</v>
      </c>
      <c r="B486" t="s">
        <v>1014</v>
      </c>
      <c r="C486" t="str">
        <f>LEFT(B486,FIND(" ",B486)-1)</f>
        <v>Portronics</v>
      </c>
      <c r="D486" t="str">
        <f>TRIM(RIGHT(E486,LEN(E486)-FIND("@",SUBSTITUTE(E486,"|","@",LEN(E486)-LEN(SUBSTITUTE(E486,"|",""))))))</f>
        <v>Cradles</v>
      </c>
      <c r="E486" t="s">
        <v>771</v>
      </c>
      <c r="F486">
        <v>599</v>
      </c>
      <c r="G486">
        <v>999</v>
      </c>
      <c r="H486" s="6">
        <v>4</v>
      </c>
      <c r="I486">
        <v>4</v>
      </c>
      <c r="J486" s="1">
        <v>18654</v>
      </c>
    </row>
    <row r="487" spans="1:10">
      <c r="A487" t="s">
        <v>1015</v>
      </c>
      <c r="B487" t="s">
        <v>1016</v>
      </c>
      <c r="C487" t="str">
        <f>LEFT(B487,FIND(" ",B487)-1)</f>
        <v>pTron</v>
      </c>
      <c r="D487" t="str">
        <f>TRIM(RIGHT(E487,LEN(E487)-FIND("@",SUBSTITUTE(E487,"|","@",LEN(E487)-LEN(SUBSTITUTE(E487,"|",""))))))</f>
        <v>WallChargers</v>
      </c>
      <c r="E487" t="s">
        <v>774</v>
      </c>
      <c r="F487">
        <v>199</v>
      </c>
      <c r="G487" s="1">
        <v>1099</v>
      </c>
      <c r="H487" s="6">
        <v>82</v>
      </c>
      <c r="I487">
        <v>4</v>
      </c>
      <c r="J487" s="1">
        <v>3197</v>
      </c>
    </row>
    <row r="488" spans="1:10">
      <c r="A488" t="s">
        <v>1017</v>
      </c>
      <c r="B488" t="s">
        <v>1018</v>
      </c>
      <c r="C488" t="str">
        <f>LEFT(B488,FIND(" ",B488)-1)</f>
        <v>boAt</v>
      </c>
      <c r="D488" t="str">
        <f>TRIM(RIGHT(E488,LEN(E488)-FIND("@",SUBSTITUTE(E488,"|","@",LEN(E488)-LEN(SUBSTITUTE(E488,"|",""))))))</f>
        <v>SmartWatches</v>
      </c>
      <c r="E488" t="s">
        <v>714</v>
      </c>
      <c r="F488" s="1">
        <v>1799</v>
      </c>
      <c r="G488" s="1">
        <v>6990</v>
      </c>
      <c r="H488" s="6">
        <v>74</v>
      </c>
      <c r="I488">
        <v>4</v>
      </c>
      <c r="J488" s="1">
        <v>26880</v>
      </c>
    </row>
    <row r="489" spans="1:10">
      <c r="A489" t="s">
        <v>1019</v>
      </c>
      <c r="B489" t="s">
        <v>1020</v>
      </c>
      <c r="C489" t="str">
        <f>LEFT(B489,FIND(" ",B489)-1)</f>
        <v>boAt</v>
      </c>
      <c r="D489" t="str">
        <f>TRIM(RIGHT(E489,LEN(E489)-FIND("@",SUBSTITUTE(E489,"|","@",LEN(E489)-LEN(SUBSTITUTE(E489,"|",""))))))</f>
        <v>SmartWatches</v>
      </c>
      <c r="E489" t="s">
        <v>714</v>
      </c>
      <c r="F489" s="1">
        <v>1499</v>
      </c>
      <c r="G489" s="1">
        <v>6990</v>
      </c>
      <c r="H489" s="6">
        <v>79</v>
      </c>
      <c r="I489">
        <v>3.9</v>
      </c>
      <c r="J489" s="1">
        <v>21796</v>
      </c>
    </row>
    <row r="490" spans="1:10">
      <c r="A490" t="s">
        <v>1021</v>
      </c>
      <c r="B490" t="s">
        <v>1022</v>
      </c>
      <c r="C490" t="str">
        <f>LEFT(B490,FIND(" ",B490)-1)</f>
        <v>iQOO</v>
      </c>
      <c r="D490" t="str">
        <f>TRIM(RIGHT(E490,LEN(E490)-FIND("@",SUBSTITUTE(E490,"|","@",LEN(E490)-LEN(SUBSTITUTE(E490,"|",""))))))</f>
        <v>Smartphones</v>
      </c>
      <c r="E490" t="s">
        <v>725</v>
      </c>
      <c r="F490" s="1">
        <v>20999</v>
      </c>
      <c r="G490" s="1">
        <v>29990</v>
      </c>
      <c r="H490" s="6">
        <v>3</v>
      </c>
      <c r="I490">
        <v>4.3</v>
      </c>
      <c r="J490" s="1">
        <v>9499</v>
      </c>
    </row>
    <row r="491" spans="1:10">
      <c r="A491" t="s">
        <v>1023</v>
      </c>
      <c r="B491" t="s">
        <v>1024</v>
      </c>
      <c r="C491" t="str">
        <f>LEFT(B491,FIND(" ",B491)-1)</f>
        <v>Samsung</v>
      </c>
      <c r="D491" t="str">
        <f>TRIM(RIGHT(E491,LEN(E491)-FIND("@",SUBSTITUTE(E491,"|","@",LEN(E491)-LEN(SUBSTITUTE(E491,"|",""))))))</f>
        <v>Smartphones</v>
      </c>
      <c r="E491" t="s">
        <v>725</v>
      </c>
      <c r="F491" s="1">
        <v>12999</v>
      </c>
      <c r="G491" s="1">
        <v>13499</v>
      </c>
      <c r="H491" s="6">
        <v>4</v>
      </c>
      <c r="I491">
        <v>4.0999999999999996</v>
      </c>
      <c r="J491" s="1">
        <v>56098</v>
      </c>
    </row>
    <row r="492" spans="1:10">
      <c r="A492" t="s">
        <v>1025</v>
      </c>
      <c r="B492" t="s">
        <v>1026</v>
      </c>
      <c r="C492" t="str">
        <f>LEFT(B492,FIND(" ",B492)-1)</f>
        <v>Redmi</v>
      </c>
      <c r="D492" t="str">
        <f>TRIM(RIGHT(E492,LEN(E492)-FIND("@",SUBSTITUTE(E492,"|","@",LEN(E492)-LEN(SUBSTITUTE(E492,"|",""))))))</f>
        <v>Smartphones</v>
      </c>
      <c r="E492" t="s">
        <v>725</v>
      </c>
      <c r="F492" s="1">
        <v>16999</v>
      </c>
      <c r="G492" s="1">
        <v>20999</v>
      </c>
      <c r="H492" s="6">
        <v>19</v>
      </c>
      <c r="I492">
        <v>4.0999999999999996</v>
      </c>
      <c r="J492" s="1">
        <v>31822</v>
      </c>
    </row>
    <row r="493" spans="1:10">
      <c r="A493" t="s">
        <v>1027</v>
      </c>
      <c r="B493" t="s">
        <v>1028</v>
      </c>
      <c r="C493" t="str">
        <f>LEFT(B493,FIND(" ",B493)-1)</f>
        <v>iQOO</v>
      </c>
      <c r="D493" t="str">
        <f>TRIM(RIGHT(E493,LEN(E493)-FIND("@",SUBSTITUTE(E493,"|","@",LEN(E493)-LEN(SUBSTITUTE(E493,"|",""))))))</f>
        <v>Smartphones</v>
      </c>
      <c r="E493" t="s">
        <v>725</v>
      </c>
      <c r="F493" s="1">
        <v>19999</v>
      </c>
      <c r="G493" s="1">
        <v>27990</v>
      </c>
      <c r="H493" s="6">
        <v>29</v>
      </c>
      <c r="I493">
        <v>4.3</v>
      </c>
      <c r="J493" s="1">
        <v>9499</v>
      </c>
    </row>
    <row r="494" spans="1:10">
      <c r="A494" t="s">
        <v>1029</v>
      </c>
      <c r="B494" t="s">
        <v>1030</v>
      </c>
      <c r="C494" t="str">
        <f>LEFT(B494,FIND(" ",B494)-1)</f>
        <v>Redmi</v>
      </c>
      <c r="D494" t="str">
        <f>TRIM(RIGHT(E494,LEN(E494)-FIND("@",SUBSTITUTE(E494,"|","@",LEN(E494)-LEN(SUBSTITUTE(E494,"|",""))))))</f>
        <v>Smartphones</v>
      </c>
      <c r="E494" t="s">
        <v>725</v>
      </c>
      <c r="F494" s="1">
        <v>12999</v>
      </c>
      <c r="G494" s="1">
        <v>18999</v>
      </c>
      <c r="H494" s="6">
        <v>32</v>
      </c>
      <c r="I494">
        <v>4.0999999999999996</v>
      </c>
      <c r="J494" s="1">
        <v>50772</v>
      </c>
    </row>
    <row r="495" spans="1:10">
      <c r="A495" t="s">
        <v>1031</v>
      </c>
      <c r="B495" t="s">
        <v>1032</v>
      </c>
      <c r="C495" t="str">
        <f>LEFT(B495,FIND(" ",B495)-1)</f>
        <v>Noise</v>
      </c>
      <c r="D495" t="str">
        <f>TRIM(RIGHT(E495,LEN(E495)-FIND("@",SUBSTITUTE(E495,"|","@",LEN(E495)-LEN(SUBSTITUTE(E495,"|",""))))))</f>
        <v>SmartWatches</v>
      </c>
      <c r="E495" t="s">
        <v>714</v>
      </c>
      <c r="F495" s="1">
        <v>2999</v>
      </c>
      <c r="G495" s="1">
        <v>5999</v>
      </c>
      <c r="H495" s="6">
        <v>5</v>
      </c>
      <c r="I495">
        <v>4.0999999999999996</v>
      </c>
      <c r="J495" s="1">
        <v>7148</v>
      </c>
    </row>
    <row r="496" spans="1:10">
      <c r="A496" t="s">
        <v>1033</v>
      </c>
      <c r="B496" t="s">
        <v>1034</v>
      </c>
      <c r="C496" t="str">
        <f>LEFT(B496,FIND(" ",B496)-1)</f>
        <v>Myvn</v>
      </c>
      <c r="D496" t="str">
        <f>TRIM(RIGHT(E496,LEN(E496)-FIND("@",SUBSTITUTE(E496,"|","@",LEN(E496)-LEN(SUBSTITUTE(E496,"|",""))))))</f>
        <v>WallChargers</v>
      </c>
      <c r="E496" t="s">
        <v>774</v>
      </c>
      <c r="F496">
        <v>329</v>
      </c>
      <c r="G496">
        <v>999</v>
      </c>
      <c r="H496" s="6">
        <v>67</v>
      </c>
      <c r="I496">
        <v>4.2</v>
      </c>
      <c r="J496" s="1">
        <v>3492</v>
      </c>
    </row>
    <row r="497" spans="1:10">
      <c r="A497" t="s">
        <v>1035</v>
      </c>
      <c r="B497" t="s">
        <v>1036</v>
      </c>
      <c r="C497" t="str">
        <f>LEFT(B497,FIND(" ",B497)-1)</f>
        <v>PTron</v>
      </c>
      <c r="D497" t="str">
        <f>TRIM(RIGHT(E497,LEN(E497)-FIND("@",SUBSTITUTE(E497,"|","@",LEN(E497)-LEN(SUBSTITUTE(E497,"|",""))))))</f>
        <v>SmartWatches</v>
      </c>
      <c r="E497" t="s">
        <v>714</v>
      </c>
      <c r="F497" s="1">
        <v>1299</v>
      </c>
      <c r="G497" s="1">
        <v>5999</v>
      </c>
      <c r="H497" s="6">
        <v>78</v>
      </c>
      <c r="I497">
        <v>3.3</v>
      </c>
      <c r="J497" s="1">
        <v>4415</v>
      </c>
    </row>
    <row r="498" spans="1:10">
      <c r="A498" t="s">
        <v>1037</v>
      </c>
      <c r="B498" t="s">
        <v>1038</v>
      </c>
      <c r="C498" t="str">
        <f>LEFT(B498,FIND(" ",B498)-1)</f>
        <v>SanDisk</v>
      </c>
      <c r="D498" t="str">
        <f>TRIM(RIGHT(E498,LEN(E498)-FIND("@",SUBSTITUTE(E498,"|","@",LEN(E498)-LEN(SUBSTITUTE(E498,"|",""))))))</f>
        <v>MicroSD</v>
      </c>
      <c r="E498" t="s">
        <v>736</v>
      </c>
      <c r="F498" s="1">
        <v>1989</v>
      </c>
      <c r="G498" s="1">
        <v>3500</v>
      </c>
      <c r="H498" s="6">
        <v>43</v>
      </c>
      <c r="I498">
        <v>4.4000000000000004</v>
      </c>
      <c r="J498" s="1">
        <v>67260</v>
      </c>
    </row>
    <row r="499" spans="1:10">
      <c r="A499" t="s">
        <v>1039</v>
      </c>
      <c r="B499" t="s">
        <v>716</v>
      </c>
      <c r="C499" t="str">
        <f>LEFT(B499,FIND(" ",B499)-1)</f>
        <v>Fire-Boltt</v>
      </c>
      <c r="D499" t="str">
        <f>TRIM(RIGHT(E499,LEN(E499)-FIND("@",SUBSTITUTE(E499,"|","@",LEN(E499)-LEN(SUBSTITUTE(E499,"|",""))))))</f>
        <v>SmartWatches</v>
      </c>
      <c r="E499" t="s">
        <v>714</v>
      </c>
      <c r="F499" s="1">
        <v>1999</v>
      </c>
      <c r="G499" s="1">
        <v>9999</v>
      </c>
      <c r="H499" s="6">
        <v>8</v>
      </c>
      <c r="I499">
        <v>4.3</v>
      </c>
      <c r="J499" s="1">
        <v>27704</v>
      </c>
    </row>
    <row r="500" spans="1:10">
      <c r="A500" t="s">
        <v>1040</v>
      </c>
      <c r="B500" t="s">
        <v>1041</v>
      </c>
      <c r="C500" t="str">
        <f>LEFT(B500,FIND(" ",B500)-1)</f>
        <v>Redmi</v>
      </c>
      <c r="D500" t="str">
        <f>TRIM(RIGHT(E500,LEN(E500)-FIND("@",SUBSTITUTE(E500,"|","@",LEN(E500)-LEN(SUBSTITUTE(E500,"|",""))))))</f>
        <v>Smartphones</v>
      </c>
      <c r="E500" t="s">
        <v>725</v>
      </c>
      <c r="F500" s="1">
        <v>12999</v>
      </c>
      <c r="G500" s="1">
        <v>18999</v>
      </c>
      <c r="H500" s="6">
        <v>32</v>
      </c>
      <c r="I500">
        <v>4.0999999999999996</v>
      </c>
      <c r="J500" s="1">
        <v>50772</v>
      </c>
    </row>
    <row r="501" spans="1:10">
      <c r="A501" t="s">
        <v>1042</v>
      </c>
      <c r="B501" t="s">
        <v>1043</v>
      </c>
      <c r="C501" t="str">
        <f>LEFT(B501,FIND(" ",B501)-1)</f>
        <v>Noise</v>
      </c>
      <c r="D501" t="str">
        <f>TRIM(RIGHT(E501,LEN(E501)-FIND("@",SUBSTITUTE(E501,"|","@",LEN(E501)-LEN(SUBSTITUTE(E501,"|",""))))))</f>
        <v>SmartWatches</v>
      </c>
      <c r="E501" t="s">
        <v>714</v>
      </c>
      <c r="F501" s="1">
        <v>1499</v>
      </c>
      <c r="G501" s="1">
        <v>4999</v>
      </c>
      <c r="H501" s="6">
        <v>7</v>
      </c>
      <c r="I501">
        <v>4</v>
      </c>
      <c r="J501" s="1">
        <v>92588</v>
      </c>
    </row>
    <row r="502" spans="1:10">
      <c r="A502" t="s">
        <v>1044</v>
      </c>
      <c r="B502" t="s">
        <v>1045</v>
      </c>
      <c r="C502" t="str">
        <f>LEFT(B502,FIND(" ",B502)-1)</f>
        <v>Redmi</v>
      </c>
      <c r="D502" t="str">
        <f>TRIM(RIGHT(E502,LEN(E502)-FIND("@",SUBSTITUTE(E502,"|","@",LEN(E502)-LEN(SUBSTITUTE(E502,"|",""))))))</f>
        <v>Smartphones</v>
      </c>
      <c r="E502" t="s">
        <v>725</v>
      </c>
      <c r="F502" s="1">
        <v>16999</v>
      </c>
      <c r="G502" s="1">
        <v>20999</v>
      </c>
      <c r="H502" s="6">
        <v>19</v>
      </c>
      <c r="I502">
        <v>4.0999999999999996</v>
      </c>
      <c r="J502" s="1">
        <v>31822</v>
      </c>
    </row>
    <row r="503" spans="1:10">
      <c r="A503" t="s">
        <v>1046</v>
      </c>
      <c r="B503" t="s">
        <v>1047</v>
      </c>
      <c r="C503" t="str">
        <f>LEFT(B503,FIND(" ",B503)-1)</f>
        <v>Newly</v>
      </c>
      <c r="D503" t="str">
        <f>TRIM(RIGHT(E503,LEN(E503)-FIND("@",SUBSTITUTE(E503,"|","@",LEN(E503)-LEN(SUBSTITUTE(E503,"|",""))))))</f>
        <v>SmartWatches</v>
      </c>
      <c r="E503" t="s">
        <v>714</v>
      </c>
      <c r="F503" s="1">
        <v>1999</v>
      </c>
      <c r="G503" s="1">
        <v>8499</v>
      </c>
      <c r="H503" s="6">
        <v>76</v>
      </c>
      <c r="I503">
        <v>4.3</v>
      </c>
      <c r="J503">
        <v>240</v>
      </c>
    </row>
    <row r="504" spans="1:10">
      <c r="A504" t="s">
        <v>1048</v>
      </c>
      <c r="B504" t="s">
        <v>1049</v>
      </c>
      <c r="C504" t="str">
        <f>LEFT(B504,FIND(" ",B504)-1)</f>
        <v>OnePlus</v>
      </c>
      <c r="D504" t="str">
        <f>TRIM(RIGHT(E504,LEN(E504)-FIND("@",SUBSTITUTE(E504,"|","@",LEN(E504)-LEN(SUBSTITUTE(E504,"|",""))))))</f>
        <v>SmartWatches</v>
      </c>
      <c r="E504" t="s">
        <v>714</v>
      </c>
      <c r="F504" s="1">
        <v>4999</v>
      </c>
      <c r="G504" s="1">
        <v>6999</v>
      </c>
      <c r="H504" s="6">
        <v>29</v>
      </c>
      <c r="I504">
        <v>3.8</v>
      </c>
      <c r="J504">
        <v>758</v>
      </c>
    </row>
    <row r="505" spans="1:10">
      <c r="A505" t="s">
        <v>97</v>
      </c>
      <c r="B505" t="s">
        <v>98</v>
      </c>
      <c r="C505" t="str">
        <f>LEFT(B505,FIND(" ",B505)-1)</f>
        <v>pTron</v>
      </c>
      <c r="D505" t="str">
        <f>TRIM(RIGHT(E505,LEN(E505)-FIND("@",SUBSTITUTE(E505,"|","@",LEN(E505)-LEN(SUBSTITUTE(E505,"|",""))))))</f>
        <v>USBCables</v>
      </c>
      <c r="E505" t="s">
        <v>23</v>
      </c>
      <c r="F505">
        <v>99</v>
      </c>
      <c r="G505">
        <v>666.66</v>
      </c>
      <c r="H505" s="6">
        <v>85</v>
      </c>
      <c r="I505">
        <v>3.9</v>
      </c>
      <c r="J505" s="1">
        <v>24870</v>
      </c>
    </row>
    <row r="506" spans="1:10">
      <c r="A506" t="s">
        <v>1050</v>
      </c>
      <c r="B506" t="s">
        <v>1051</v>
      </c>
      <c r="C506" t="str">
        <f>LEFT(B506,FIND(" ",B506)-1)</f>
        <v>Noise</v>
      </c>
      <c r="D506" t="str">
        <f>TRIM(RIGHT(E506,LEN(E506)-FIND("@",SUBSTITUTE(E506,"|","@",LEN(E506)-LEN(SUBSTITUTE(E506,"|",""))))))</f>
        <v>SmartWatches</v>
      </c>
      <c r="E506" t="s">
        <v>714</v>
      </c>
      <c r="F506" s="1">
        <v>2499</v>
      </c>
      <c r="G506" s="1">
        <v>5999</v>
      </c>
      <c r="H506" s="6">
        <v>58</v>
      </c>
      <c r="I506">
        <v>3.7</v>
      </c>
      <c r="J506">
        <v>828</v>
      </c>
    </row>
    <row r="507" spans="1:10">
      <c r="A507" t="s">
        <v>1052</v>
      </c>
      <c r="B507" t="s">
        <v>1053</v>
      </c>
      <c r="C507" t="str">
        <f>LEFT(B507,FIND(" ",B507)-1)</f>
        <v>Motorola</v>
      </c>
      <c r="D507" t="str">
        <f>TRIM(RIGHT(E507,LEN(E507)-FIND("@",SUBSTITUTE(E507,"|","@",LEN(E507)-LEN(SUBSTITUTE(E507,"|",""))))))</f>
        <v>BasicMobiles</v>
      </c>
      <c r="E507" t="s">
        <v>741</v>
      </c>
      <c r="F507" s="1">
        <v>1399</v>
      </c>
      <c r="G507" s="1">
        <v>1630</v>
      </c>
      <c r="H507" s="6">
        <v>14</v>
      </c>
      <c r="I507">
        <v>4</v>
      </c>
      <c r="J507" s="1">
        <v>9378</v>
      </c>
    </row>
    <row r="508" spans="1:10">
      <c r="A508" t="s">
        <v>1054</v>
      </c>
      <c r="B508" t="s">
        <v>1055</v>
      </c>
      <c r="C508" t="str">
        <f>LEFT(B508,FIND(" ",B508)-1)</f>
        <v>Fire-Boltt</v>
      </c>
      <c r="D508" t="str">
        <f>TRIM(RIGHT(E508,LEN(E508)-FIND("@",SUBSTITUTE(E508,"|","@",LEN(E508)-LEN(SUBSTITUTE(E508,"|",""))))))</f>
        <v>SmartWatches</v>
      </c>
      <c r="E508" t="s">
        <v>714</v>
      </c>
      <c r="F508" s="1">
        <v>1499</v>
      </c>
      <c r="G508" s="1">
        <v>9999</v>
      </c>
      <c r="H508" s="6">
        <v>85</v>
      </c>
      <c r="I508">
        <v>4.2</v>
      </c>
      <c r="J508" s="1">
        <v>22638</v>
      </c>
    </row>
    <row r="509" spans="1:10">
      <c r="A509" t="s">
        <v>1056</v>
      </c>
      <c r="B509" t="s">
        <v>1057</v>
      </c>
      <c r="C509" t="str">
        <f>LEFT(B509,FIND(" ",B509)-1)</f>
        <v>Flix</v>
      </c>
      <c r="D509" t="str">
        <f>TRIM(RIGHT(E509,LEN(E509)-FIND("@",SUBSTITUTE(E509,"|","@",LEN(E509)-LEN(SUBSTITUTE(E509,"|",""))))))</f>
        <v>WallChargers</v>
      </c>
      <c r="E509" t="s">
        <v>774</v>
      </c>
      <c r="F509">
        <v>249</v>
      </c>
      <c r="G509">
        <v>599</v>
      </c>
      <c r="H509" s="6">
        <v>58</v>
      </c>
      <c r="I509">
        <v>3.9</v>
      </c>
      <c r="J509" s="1">
        <v>2147</v>
      </c>
    </row>
    <row r="510" spans="1:10">
      <c r="A510" t="s">
        <v>1058</v>
      </c>
      <c r="B510" t="s">
        <v>1059</v>
      </c>
      <c r="C510" t="str">
        <f>LEFT(B510,FIND(" ",B510)-1)</f>
        <v>Kyosei</v>
      </c>
      <c r="D510" t="str">
        <f>TRIM(RIGHT(E510,LEN(E510)-FIND("@",SUBSTITUTE(E510,"|","@",LEN(E510)-LEN(SUBSTITUTE(E510,"|",""))))))</f>
        <v>ScreenProtectors</v>
      </c>
      <c r="E510" t="s">
        <v>933</v>
      </c>
      <c r="F510">
        <v>299</v>
      </c>
      <c r="G510" s="1">
        <v>1199</v>
      </c>
      <c r="H510" s="6">
        <v>75</v>
      </c>
      <c r="I510">
        <v>4.5</v>
      </c>
      <c r="J510">
        <v>596</v>
      </c>
    </row>
    <row r="511" spans="1:10">
      <c r="A511" t="s">
        <v>1060</v>
      </c>
      <c r="B511" t="s">
        <v>1061</v>
      </c>
      <c r="C511" t="str">
        <f>LEFT(B511,FIND(" ",B511)-1)</f>
        <v>STRIFF</v>
      </c>
      <c r="D511" t="str">
        <f>TRIM(RIGHT(E511,LEN(E511)-FIND("@",SUBSTITUTE(E511,"|","@",LEN(E511)-LEN(SUBSTITUTE(E511,"|",""))))))</f>
        <v>DÃ©cor</v>
      </c>
      <c r="E511" t="s">
        <v>893</v>
      </c>
      <c r="F511">
        <v>79</v>
      </c>
      <c r="G511">
        <v>499</v>
      </c>
      <c r="H511" s="6">
        <v>84</v>
      </c>
      <c r="I511">
        <v>4.2</v>
      </c>
      <c r="J511" s="1">
        <v>1949</v>
      </c>
    </row>
    <row r="512" spans="1:10">
      <c r="A512" t="s">
        <v>1062</v>
      </c>
      <c r="B512" t="s">
        <v>1063</v>
      </c>
      <c r="C512" t="str">
        <f>LEFT(B512,FIND(" ",B512)-1)</f>
        <v>Redmi</v>
      </c>
      <c r="D512" t="str">
        <f>TRIM(RIGHT(E512,LEN(E512)-FIND("@",SUBSTITUTE(E512,"|","@",LEN(E512)-LEN(SUBSTITUTE(E512,"|",""))))))</f>
        <v>Smartphones</v>
      </c>
      <c r="E512" t="s">
        <v>725</v>
      </c>
      <c r="F512" s="1">
        <v>13999</v>
      </c>
      <c r="G512" s="1">
        <v>15999</v>
      </c>
      <c r="H512" s="6">
        <v>13</v>
      </c>
      <c r="I512">
        <v>3.9</v>
      </c>
      <c r="J512" s="1">
        <v>2180</v>
      </c>
    </row>
    <row r="513" spans="1:10">
      <c r="A513" t="s">
        <v>1064</v>
      </c>
      <c r="B513" t="s">
        <v>1065</v>
      </c>
      <c r="C513" t="str">
        <f>LEFT(B513,FIND(" ",B513)-1)</f>
        <v>Samsung</v>
      </c>
      <c r="D513" t="str">
        <f>TRIM(RIGHT(E513,LEN(E513)-FIND("@",SUBSTITUTE(E513,"|","@",LEN(E513)-LEN(SUBSTITUTE(E513,"|",""))))))</f>
        <v>In-Ear</v>
      </c>
      <c r="E513" t="s">
        <v>747</v>
      </c>
      <c r="F513">
        <v>949</v>
      </c>
      <c r="G513">
        <v>999</v>
      </c>
      <c r="H513" s="6">
        <v>5</v>
      </c>
      <c r="I513">
        <v>4.2</v>
      </c>
      <c r="J513" s="1">
        <v>31539</v>
      </c>
    </row>
    <row r="514" spans="1:10">
      <c r="A514" t="s">
        <v>1066</v>
      </c>
      <c r="B514" t="s">
        <v>1067</v>
      </c>
      <c r="C514" t="str">
        <f>LEFT(B514,FIND(" ",B514)-1)</f>
        <v>STRIFF</v>
      </c>
      <c r="D514" t="str">
        <f>TRIM(RIGHT(E514,LEN(E514)-FIND("@",SUBSTITUTE(E514,"|","@",LEN(E514)-LEN(SUBSTITUTE(E514,"|",""))))))</f>
        <v>Stands</v>
      </c>
      <c r="E514" t="s">
        <v>855</v>
      </c>
      <c r="F514">
        <v>99</v>
      </c>
      <c r="G514">
        <v>499</v>
      </c>
      <c r="H514" s="6">
        <v>8</v>
      </c>
      <c r="I514">
        <v>4.0999999999999996</v>
      </c>
      <c r="J514" s="1">
        <v>2451</v>
      </c>
    </row>
    <row r="515" spans="1:10">
      <c r="A515" t="s">
        <v>1068</v>
      </c>
      <c r="B515" t="s">
        <v>1069</v>
      </c>
      <c r="C515" t="str">
        <f>LEFT(B515,FIND(" ",B515)-1)</f>
        <v>boAt</v>
      </c>
      <c r="D515" t="str">
        <f>TRIM(RIGHT(E515,LEN(E515)-FIND("@",SUBSTITUTE(E515,"|","@",LEN(E515)-LEN(SUBSTITUTE(E515,"|",""))))))</f>
        <v>SmartWatches</v>
      </c>
      <c r="E515" t="s">
        <v>714</v>
      </c>
      <c r="F515" s="1">
        <v>2499</v>
      </c>
      <c r="G515" s="1">
        <v>7990</v>
      </c>
      <c r="H515" s="6">
        <v>69</v>
      </c>
      <c r="I515">
        <v>4.0999999999999996</v>
      </c>
      <c r="J515">
        <v>154</v>
      </c>
    </row>
    <row r="516" spans="1:10">
      <c r="A516" t="s">
        <v>1070</v>
      </c>
      <c r="B516" t="s">
        <v>1071</v>
      </c>
      <c r="C516" t="str">
        <f>LEFT(B516,FIND(" ",B516)-1)</f>
        <v>WeCool</v>
      </c>
      <c r="D516" t="str">
        <f>TRIM(RIGHT(E516,LEN(E516)-FIND("@",SUBSTITUTE(E516,"|","@",LEN(E516)-LEN(SUBSTITUTE(E516,"|",""))))))</f>
        <v>HandlebarMounts</v>
      </c>
      <c r="E516" t="s">
        <v>1072</v>
      </c>
      <c r="F516">
        <v>689</v>
      </c>
      <c r="G516" s="1">
        <v>1999</v>
      </c>
      <c r="H516" s="6">
        <v>66</v>
      </c>
      <c r="I516">
        <v>4.3</v>
      </c>
      <c r="J516" s="1">
        <v>1193</v>
      </c>
    </row>
    <row r="517" spans="1:10">
      <c r="A517" t="s">
        <v>1073</v>
      </c>
      <c r="B517" t="s">
        <v>1074</v>
      </c>
      <c r="C517" t="str">
        <f>LEFT(B517,FIND(" ",B517)-1)</f>
        <v>Sounce</v>
      </c>
      <c r="D517" t="str">
        <f>TRIM(RIGHT(E517,LEN(E517)-FIND("@",SUBSTITUTE(E517,"|","@",LEN(E517)-LEN(SUBSTITUTE(E517,"|",""))))))</f>
        <v>Bedstand&amp;DeskMounts</v>
      </c>
      <c r="E517" t="s">
        <v>973</v>
      </c>
      <c r="F517">
        <v>499</v>
      </c>
      <c r="G517" s="1">
        <v>1899</v>
      </c>
      <c r="H517" s="6">
        <v>74</v>
      </c>
      <c r="I517">
        <v>4.0999999999999996</v>
      </c>
      <c r="J517" s="1">
        <v>1475</v>
      </c>
    </row>
    <row r="518" spans="1:10">
      <c r="A518" t="s">
        <v>1075</v>
      </c>
      <c r="B518" t="s">
        <v>1076</v>
      </c>
      <c r="C518" t="str">
        <f>LEFT(B518,FIND(" ",B518)-1)</f>
        <v>OpenTechÂ®</v>
      </c>
      <c r="D518" t="str">
        <f>TRIM(RIGHT(E518,LEN(E518)-FIND("@",SUBSTITUTE(E518,"|","@",LEN(E518)-LEN(SUBSTITUTE(E518,"|",""))))))</f>
        <v>ScreenProtectors</v>
      </c>
      <c r="E518" t="s">
        <v>933</v>
      </c>
      <c r="F518">
        <v>299</v>
      </c>
      <c r="G518">
        <v>999</v>
      </c>
      <c r="H518" s="6">
        <v>7</v>
      </c>
      <c r="I518">
        <v>4.3</v>
      </c>
      <c r="J518" s="1">
        <v>8891</v>
      </c>
    </row>
    <row r="519" spans="1:10">
      <c r="A519" t="s">
        <v>1077</v>
      </c>
      <c r="B519" t="s">
        <v>1078</v>
      </c>
      <c r="C519" t="str">
        <f>LEFT(B519,FIND(" ",B519)-1)</f>
        <v>EN</v>
      </c>
      <c r="D519" t="str">
        <f>TRIM(RIGHT(E519,LEN(E519)-FIND("@",SUBSTITUTE(E519,"|","@",LEN(E519)-LEN(SUBSTITUTE(E519,"|",""))))))</f>
        <v>Stands</v>
      </c>
      <c r="E519" t="s">
        <v>855</v>
      </c>
      <c r="F519">
        <v>209</v>
      </c>
      <c r="G519">
        <v>499</v>
      </c>
      <c r="H519" s="6">
        <v>58</v>
      </c>
      <c r="I519">
        <v>3.6</v>
      </c>
      <c r="J519">
        <v>104</v>
      </c>
    </row>
    <row r="520" spans="1:10">
      <c r="A520" t="s">
        <v>1079</v>
      </c>
      <c r="B520" t="s">
        <v>1080</v>
      </c>
      <c r="C520" t="str">
        <f>LEFT(B520,FIND(" ",B520)-1)</f>
        <v>Tecno</v>
      </c>
      <c r="D520" t="str">
        <f>TRIM(RIGHT(E520,LEN(E520)-FIND("@",SUBSTITUTE(E520,"|","@",LEN(E520)-LEN(SUBSTITUTE(E520,"|",""))))))</f>
        <v>Smartphones</v>
      </c>
      <c r="E520" t="s">
        <v>725</v>
      </c>
      <c r="F520" s="1">
        <v>8499</v>
      </c>
      <c r="G520" s="1">
        <v>12999</v>
      </c>
      <c r="H520" s="6">
        <v>35</v>
      </c>
      <c r="I520">
        <v>4.0999999999999996</v>
      </c>
      <c r="J520" s="1">
        <v>6662</v>
      </c>
    </row>
    <row r="521" spans="1:10">
      <c r="A521" t="s">
        <v>1081</v>
      </c>
      <c r="B521" t="s">
        <v>1082</v>
      </c>
      <c r="C521" t="str">
        <f>LEFT(B521,FIND(" ",B521)-1)</f>
        <v>URBN</v>
      </c>
      <c r="D521" t="str">
        <f>TRIM(RIGHT(E521,LEN(E521)-FIND("@",SUBSTITUTE(E521,"|","@",LEN(E521)-LEN(SUBSTITUTE(E521,"|",""))))))</f>
        <v>PowerBanks</v>
      </c>
      <c r="E521" t="s">
        <v>721</v>
      </c>
      <c r="F521" s="1">
        <v>2179</v>
      </c>
      <c r="G521" s="1">
        <v>3999</v>
      </c>
      <c r="H521" s="6">
        <v>46</v>
      </c>
      <c r="I521">
        <v>4</v>
      </c>
      <c r="J521" s="1">
        <v>8380</v>
      </c>
    </row>
    <row r="522" spans="1:10">
      <c r="A522" t="s">
        <v>1083</v>
      </c>
      <c r="B522" t="s">
        <v>1084</v>
      </c>
      <c r="C522" t="str">
        <f>LEFT(B522,FIND(" ",B522)-1)</f>
        <v>Redmi</v>
      </c>
      <c r="D522" t="str">
        <f>TRIM(RIGHT(E522,LEN(E522)-FIND("@",SUBSTITUTE(E522,"|","@",LEN(E522)-LEN(SUBSTITUTE(E522,"|",""))))))</f>
        <v>Smartphones</v>
      </c>
      <c r="E522" t="s">
        <v>725</v>
      </c>
      <c r="F522" s="1">
        <v>16999</v>
      </c>
      <c r="G522" s="1">
        <v>20999</v>
      </c>
      <c r="H522" s="6">
        <v>19</v>
      </c>
      <c r="I522">
        <v>4.0999999999999996</v>
      </c>
      <c r="J522" s="1">
        <v>31822</v>
      </c>
    </row>
    <row r="523" spans="1:10">
      <c r="A523" t="s">
        <v>1085</v>
      </c>
      <c r="B523" t="s">
        <v>1086</v>
      </c>
      <c r="C523" t="str">
        <f>LEFT(B523,FIND(" ",B523)-1)</f>
        <v>OnePlus</v>
      </c>
      <c r="D523" t="str">
        <f>TRIM(RIGHT(E523,LEN(E523)-FIND("@",SUBSTITUTE(E523,"|","@",LEN(E523)-LEN(SUBSTITUTE(E523,"|",""))))))</f>
        <v>Smartphones</v>
      </c>
      <c r="E523" t="s">
        <v>725</v>
      </c>
      <c r="F523" s="1">
        <v>44999</v>
      </c>
      <c r="G523" s="1">
        <v>49999</v>
      </c>
      <c r="H523" s="6">
        <v>1</v>
      </c>
      <c r="I523">
        <v>4.3</v>
      </c>
      <c r="J523" s="1">
        <v>3075</v>
      </c>
    </row>
    <row r="524" spans="1:10">
      <c r="A524" t="s">
        <v>1087</v>
      </c>
      <c r="B524" t="s">
        <v>1088</v>
      </c>
      <c r="C524" t="str">
        <f>LEFT(B524,FIND(" ",B524)-1)</f>
        <v>Nokia</v>
      </c>
      <c r="D524" t="str">
        <f>TRIM(RIGHT(E524,LEN(E524)-FIND("@",SUBSTITUTE(E524,"|","@",LEN(E524)-LEN(SUBSTITUTE(E524,"|",""))))))</f>
        <v>BasicMobiles</v>
      </c>
      <c r="E524" t="s">
        <v>741</v>
      </c>
      <c r="F524" s="1">
        <v>2599</v>
      </c>
      <c r="G524" s="1">
        <v>2999</v>
      </c>
      <c r="H524" s="6">
        <v>13</v>
      </c>
      <c r="I524">
        <v>3.9</v>
      </c>
      <c r="J524" s="1">
        <v>14266</v>
      </c>
    </row>
    <row r="525" spans="1:10">
      <c r="A525" t="s">
        <v>1089</v>
      </c>
      <c r="B525" t="s">
        <v>1090</v>
      </c>
      <c r="C525" t="str">
        <f>LEFT(B525,FIND(" ",B525)-1)</f>
        <v>Noise</v>
      </c>
      <c r="D525" t="str">
        <f>TRIM(RIGHT(E525,LEN(E525)-FIND("@",SUBSTITUTE(E525,"|","@",LEN(E525)-LEN(SUBSTITUTE(E525,"|",""))))))</f>
        <v>SmartWatches</v>
      </c>
      <c r="E525" t="s">
        <v>714</v>
      </c>
      <c r="F525" s="1">
        <v>2799</v>
      </c>
      <c r="G525" s="1">
        <v>6499</v>
      </c>
      <c r="H525" s="6">
        <v>57</v>
      </c>
      <c r="I525">
        <v>4.0999999999999996</v>
      </c>
      <c r="J525" s="1">
        <v>38879</v>
      </c>
    </row>
    <row r="526" spans="1:10">
      <c r="A526" t="s">
        <v>1091</v>
      </c>
      <c r="B526" t="s">
        <v>1092</v>
      </c>
      <c r="C526" t="str">
        <f>LEFT(B526,FIND(" ",B526)-1)</f>
        <v>boAt</v>
      </c>
      <c r="D526" t="str">
        <f>TRIM(RIGHT(E526,LEN(E526)-FIND("@",SUBSTITUTE(E526,"|","@",LEN(E526)-LEN(SUBSTITUTE(E526,"|",""))))))</f>
        <v>On-Ear</v>
      </c>
      <c r="E526" t="s">
        <v>1093</v>
      </c>
      <c r="F526" s="1">
        <v>1399</v>
      </c>
      <c r="G526" s="1">
        <v>2990</v>
      </c>
      <c r="H526" s="6">
        <v>53</v>
      </c>
      <c r="I526">
        <v>4.0999999999999996</v>
      </c>
      <c r="J526" s="1">
        <v>97175</v>
      </c>
    </row>
    <row r="527" spans="1:10">
      <c r="A527" t="s">
        <v>1094</v>
      </c>
      <c r="B527" t="s">
        <v>1095</v>
      </c>
      <c r="C527" t="str">
        <f>LEFT(B527,FIND(" ",B527)-1)</f>
        <v>SanDisk</v>
      </c>
      <c r="D527" t="str">
        <f>TRIM(RIGHT(E527,LEN(E527)-FIND("@",SUBSTITUTE(E527,"|","@",LEN(E527)-LEN(SUBSTITUTE(E527,"|",""))))))</f>
        <v>MicroSD</v>
      </c>
      <c r="E527" t="s">
        <v>736</v>
      </c>
      <c r="F527">
        <v>649</v>
      </c>
      <c r="G527" s="1">
        <v>2400</v>
      </c>
      <c r="H527" s="6">
        <v>73</v>
      </c>
      <c r="I527">
        <v>4.4000000000000004</v>
      </c>
      <c r="J527" s="1">
        <v>67260</v>
      </c>
    </row>
    <row r="528" spans="1:10">
      <c r="A528" t="s">
        <v>1096</v>
      </c>
      <c r="B528" t="s">
        <v>1097</v>
      </c>
      <c r="C528" t="str">
        <f>LEFT(B528,FIND(" ",B528)-1)</f>
        <v>iPhone</v>
      </c>
      <c r="D528" t="str">
        <f>TRIM(RIGHT(E528,LEN(E528)-FIND("@",SUBSTITUTE(E528,"|","@",LEN(E528)-LEN(SUBSTITUTE(E528,"|",""))))))</f>
        <v>WallChargers</v>
      </c>
      <c r="E528" t="s">
        <v>774</v>
      </c>
      <c r="F528">
        <v>799</v>
      </c>
      <c r="G528" s="1">
        <v>3990</v>
      </c>
      <c r="H528" s="6">
        <v>8</v>
      </c>
      <c r="I528">
        <v>3.8</v>
      </c>
      <c r="J528">
        <v>119</v>
      </c>
    </row>
    <row r="529" spans="1:10">
      <c r="A529" t="s">
        <v>1098</v>
      </c>
      <c r="B529" t="s">
        <v>1099</v>
      </c>
      <c r="C529" t="str">
        <f>LEFT(B529,FIND(" ",B529)-1)</f>
        <v>LIRAMARK</v>
      </c>
      <c r="D529" t="str">
        <f>TRIM(RIGHT(E529,LEN(E529)-FIND("@",SUBSTITUTE(E529,"|","@",LEN(E529)-LEN(SUBSTITUTE(E529,"|",""))))))</f>
        <v>CameraPrivacyCovers</v>
      </c>
      <c r="E529" t="s">
        <v>1100</v>
      </c>
      <c r="F529">
        <v>149</v>
      </c>
      <c r="G529">
        <v>149</v>
      </c>
      <c r="H529" s="6">
        <v>0</v>
      </c>
      <c r="I529">
        <v>4.3</v>
      </c>
      <c r="J529" s="1">
        <v>10833</v>
      </c>
    </row>
    <row r="530" spans="1:10">
      <c r="A530" t="s">
        <v>1101</v>
      </c>
      <c r="B530" t="s">
        <v>1102</v>
      </c>
      <c r="C530" t="str">
        <f>LEFT(B530,FIND(" ",B530)-1)</f>
        <v>Nokia</v>
      </c>
      <c r="D530" t="str">
        <f>TRIM(RIGHT(E530,LEN(E530)-FIND("@",SUBSTITUTE(E530,"|","@",LEN(E530)-LEN(SUBSTITUTE(E530,"|",""))))))</f>
        <v>BasicMobiles</v>
      </c>
      <c r="E530" t="s">
        <v>741</v>
      </c>
      <c r="F530" s="1">
        <v>3799</v>
      </c>
      <c r="G530" s="1">
        <v>5299</v>
      </c>
      <c r="H530" s="6">
        <v>28</v>
      </c>
      <c r="I530">
        <v>3.5</v>
      </c>
      <c r="J530" s="1">
        <v>1641</v>
      </c>
    </row>
    <row r="531" spans="1:10">
      <c r="A531" t="s">
        <v>1103</v>
      </c>
      <c r="B531" t="s">
        <v>1104</v>
      </c>
      <c r="C531" t="str">
        <f>LEFT(B531,FIND(" ",B531)-1)</f>
        <v>Sounce</v>
      </c>
      <c r="D531" t="str">
        <f>TRIM(RIGHT(E531,LEN(E531)-FIND("@",SUBSTITUTE(E531,"|","@",LEN(E531)-LEN(SUBSTITUTE(E531,"|",""))))))</f>
        <v>BasicCases</v>
      </c>
      <c r="E531" t="s">
        <v>981</v>
      </c>
      <c r="F531">
        <v>199</v>
      </c>
      <c r="G531" s="1">
        <v>1899</v>
      </c>
      <c r="H531" s="6">
        <v>9</v>
      </c>
      <c r="I531">
        <v>4</v>
      </c>
      <c r="J531" s="1">
        <v>4740</v>
      </c>
    </row>
    <row r="532" spans="1:10">
      <c r="A532" t="s">
        <v>1105</v>
      </c>
      <c r="B532" t="s">
        <v>1106</v>
      </c>
      <c r="C532" t="str">
        <f>LEFT(B532,FIND(" ",B532)-1)</f>
        <v>Samsung</v>
      </c>
      <c r="D532" t="str">
        <f>TRIM(RIGHT(E532,LEN(E532)-FIND("@",SUBSTITUTE(E532,"|","@",LEN(E532)-LEN(SUBSTITUTE(E532,"|",""))))))</f>
        <v>Smartphones</v>
      </c>
      <c r="E532" t="s">
        <v>725</v>
      </c>
      <c r="F532" s="1">
        <v>23999</v>
      </c>
      <c r="G532" s="1">
        <v>32999</v>
      </c>
      <c r="H532" s="6">
        <v>27</v>
      </c>
      <c r="I532">
        <v>3.9</v>
      </c>
      <c r="J532" s="1">
        <v>8866</v>
      </c>
    </row>
    <row r="533" spans="1:10">
      <c r="A533" t="s">
        <v>1107</v>
      </c>
      <c r="B533" t="s">
        <v>1108</v>
      </c>
      <c r="C533" t="str">
        <f>LEFT(B533,FIND(" ",B533)-1)</f>
        <v>iQOO</v>
      </c>
      <c r="D533" t="str">
        <f>TRIM(RIGHT(E533,LEN(E533)-FIND("@",SUBSTITUTE(E533,"|","@",LEN(E533)-LEN(SUBSTITUTE(E533,"|",""))))))</f>
        <v>Smartphones</v>
      </c>
      <c r="E533" t="s">
        <v>725</v>
      </c>
      <c r="F533" s="1">
        <v>29990</v>
      </c>
      <c r="G533" s="1">
        <v>39990</v>
      </c>
      <c r="H533" s="6">
        <v>25</v>
      </c>
      <c r="I533">
        <v>4.3</v>
      </c>
      <c r="J533" s="1">
        <v>8399</v>
      </c>
    </row>
    <row r="534" spans="1:10">
      <c r="A534" t="s">
        <v>1109</v>
      </c>
      <c r="B534" t="s">
        <v>1110</v>
      </c>
      <c r="C534" t="str">
        <f>LEFT(B534,FIND(" ",B534)-1)</f>
        <v>SHREENOVA</v>
      </c>
      <c r="D534" t="str">
        <f>TRIM(RIGHT(E534,LEN(E534)-FIND("@",SUBSTITUTE(E534,"|","@",LEN(E534)-LEN(SUBSTITUTE(E534,"|",""))))))</f>
        <v>SmartWatches</v>
      </c>
      <c r="E534" t="s">
        <v>714</v>
      </c>
      <c r="F534">
        <v>281</v>
      </c>
      <c r="G534" s="1">
        <v>1999</v>
      </c>
      <c r="H534" s="6">
        <v>86</v>
      </c>
      <c r="I534">
        <v>2.8</v>
      </c>
      <c r="J534">
        <v>87</v>
      </c>
    </row>
    <row r="535" spans="1:10">
      <c r="A535" t="s">
        <v>1111</v>
      </c>
      <c r="B535" t="s">
        <v>1112</v>
      </c>
      <c r="C535" t="str">
        <f>LEFT(B535,FIND(" ",B535)-1)</f>
        <v>POCO</v>
      </c>
      <c r="D535" t="str">
        <f>TRIM(RIGHT(E535,LEN(E535)-FIND("@",SUBSTITUTE(E535,"|","@",LEN(E535)-LEN(SUBSTITUTE(E535,"|",""))))))</f>
        <v>Smartphones</v>
      </c>
      <c r="E535" t="s">
        <v>725</v>
      </c>
      <c r="F535" s="1">
        <v>7998</v>
      </c>
      <c r="G535" s="1">
        <v>11999</v>
      </c>
      <c r="H535" s="6">
        <v>33</v>
      </c>
      <c r="I535">
        <v>3.8</v>
      </c>
      <c r="J535">
        <v>125</v>
      </c>
    </row>
    <row r="536" spans="1:10">
      <c r="A536" t="s">
        <v>1113</v>
      </c>
      <c r="B536" t="s">
        <v>1114</v>
      </c>
      <c r="C536" t="str">
        <f>LEFT(B536,FIND(" ",B536)-1)</f>
        <v>Noise_Colorfit</v>
      </c>
      <c r="D536" t="str">
        <f>TRIM(RIGHT(E536,LEN(E536)-FIND("@",SUBSTITUTE(E536,"|","@",LEN(E536)-LEN(SUBSTITUTE(E536,"|",""))))))</f>
        <v>SmartWatches</v>
      </c>
      <c r="E536" t="s">
        <v>714</v>
      </c>
      <c r="F536">
        <v>249</v>
      </c>
      <c r="G536">
        <v>999</v>
      </c>
      <c r="H536" s="6">
        <v>75</v>
      </c>
      <c r="I536">
        <v>4.5</v>
      </c>
      <c r="J536">
        <v>38</v>
      </c>
    </row>
    <row r="537" spans="1:10">
      <c r="A537" t="s">
        <v>1115</v>
      </c>
      <c r="B537" t="s">
        <v>1116</v>
      </c>
      <c r="C537" t="str">
        <f>LEFT(B537,FIND(" ",B537)-1)</f>
        <v>POPIO</v>
      </c>
      <c r="D537" t="str">
        <f>TRIM(RIGHT(E537,LEN(E537)-FIND("@",SUBSTITUTE(E537,"|","@",LEN(E537)-LEN(SUBSTITUTE(E537,"|",""))))))</f>
        <v>ScreenProtectors</v>
      </c>
      <c r="E537" t="s">
        <v>933</v>
      </c>
      <c r="F537">
        <v>299</v>
      </c>
      <c r="G537">
        <v>599</v>
      </c>
      <c r="H537" s="6">
        <v>5</v>
      </c>
      <c r="I537">
        <v>4.3</v>
      </c>
      <c r="J537" s="1">
        <v>4674</v>
      </c>
    </row>
    <row r="538" spans="1:10">
      <c r="A538" t="s">
        <v>1117</v>
      </c>
      <c r="B538" t="s">
        <v>1118</v>
      </c>
      <c r="C538" t="str">
        <f>LEFT(B538,FIND(" ",B538)-1)</f>
        <v>10WeRun</v>
      </c>
      <c r="D538" t="str">
        <f>TRIM(RIGHT(E538,LEN(E538)-FIND("@",SUBSTITUTE(E538,"|","@",LEN(E538)-LEN(SUBSTITUTE(E538,"|",""))))))</f>
        <v>SmartWatches</v>
      </c>
      <c r="E538" t="s">
        <v>714</v>
      </c>
      <c r="F538">
        <v>499</v>
      </c>
      <c r="G538" s="1">
        <v>1899</v>
      </c>
      <c r="H538" s="6">
        <v>74</v>
      </c>
      <c r="I538">
        <v>4.0999999999999996</v>
      </c>
      <c r="J538">
        <v>412</v>
      </c>
    </row>
    <row r="539" spans="1:10">
      <c r="A539" t="s">
        <v>1119</v>
      </c>
      <c r="B539" t="s">
        <v>1120</v>
      </c>
      <c r="C539" t="str">
        <f>LEFT(B539,FIND(" ",B539)-1)</f>
        <v>Tokdis</v>
      </c>
      <c r="D539" t="str">
        <f>TRIM(RIGHT(E539,LEN(E539)-FIND("@",SUBSTITUTE(E539,"|","@",LEN(E539)-LEN(SUBSTITUTE(E539,"|",""))))))</f>
        <v>SmartWatches</v>
      </c>
      <c r="E539" t="s">
        <v>714</v>
      </c>
      <c r="F539">
        <v>899</v>
      </c>
      <c r="G539" s="1">
        <v>3499</v>
      </c>
      <c r="H539" s="6">
        <v>74</v>
      </c>
      <c r="I539">
        <v>3</v>
      </c>
      <c r="J539">
        <v>681</v>
      </c>
    </row>
    <row r="540" spans="1:10">
      <c r="A540" t="s">
        <v>1121</v>
      </c>
      <c r="B540" t="s">
        <v>1122</v>
      </c>
      <c r="C540" t="str">
        <f>LEFT(B540,FIND(" ",B540)-1)</f>
        <v>URBN</v>
      </c>
      <c r="D540" t="str">
        <f>TRIM(RIGHT(E540,LEN(E540)-FIND("@",SUBSTITUTE(E540,"|","@",LEN(E540)-LEN(SUBSTITUTE(E540,"|",""))))))</f>
        <v>PowerBanks</v>
      </c>
      <c r="E540" t="s">
        <v>721</v>
      </c>
      <c r="F540" s="1">
        <v>1599</v>
      </c>
      <c r="G540" s="1">
        <v>3499</v>
      </c>
      <c r="H540" s="6">
        <v>54</v>
      </c>
      <c r="I540">
        <v>4</v>
      </c>
      <c r="J540" s="1">
        <v>36384</v>
      </c>
    </row>
    <row r="541" spans="1:10">
      <c r="A541" t="s">
        <v>1123</v>
      </c>
      <c r="B541" t="s">
        <v>1124</v>
      </c>
      <c r="C541" t="str">
        <f>LEFT(B541,FIND(" ",B541)-1)</f>
        <v>Sounce</v>
      </c>
      <c r="D541" t="str">
        <f>TRIM(RIGHT(E541,LEN(E541)-FIND("@",SUBSTITUTE(E541,"|","@",LEN(E541)-LEN(SUBSTITUTE(E541,"|",""))))))</f>
        <v>Adapters</v>
      </c>
      <c r="E541" t="s">
        <v>1125</v>
      </c>
      <c r="F541">
        <v>120</v>
      </c>
      <c r="G541">
        <v>999</v>
      </c>
      <c r="H541" s="6">
        <v>88</v>
      </c>
      <c r="I541">
        <v>3.9</v>
      </c>
      <c r="J541" s="1">
        <v>6491</v>
      </c>
    </row>
    <row r="542" spans="1:10">
      <c r="A542" t="s">
        <v>1126</v>
      </c>
      <c r="B542" t="s">
        <v>1127</v>
      </c>
      <c r="C542" t="str">
        <f>LEFT(B542,FIND(" ",B542)-1)</f>
        <v>Noise</v>
      </c>
      <c r="D542" t="str">
        <f>TRIM(RIGHT(E542,LEN(E542)-FIND("@",SUBSTITUTE(E542,"|","@",LEN(E542)-LEN(SUBSTITUTE(E542,"|",""))))))</f>
        <v>SmartWatches</v>
      </c>
      <c r="E542" t="s">
        <v>714</v>
      </c>
      <c r="F542" s="1">
        <v>3999</v>
      </c>
      <c r="G542" s="1">
        <v>6999</v>
      </c>
      <c r="H542" s="6">
        <v>43</v>
      </c>
      <c r="I542">
        <v>4.0999999999999996</v>
      </c>
      <c r="J542" s="1">
        <v>10229</v>
      </c>
    </row>
    <row r="543" spans="1:10">
      <c r="A543" t="s">
        <v>1128</v>
      </c>
      <c r="B543" t="s">
        <v>1030</v>
      </c>
      <c r="C543" t="str">
        <f>LEFT(B543,FIND(" ",B543)-1)</f>
        <v>Redmi</v>
      </c>
      <c r="D543" t="str">
        <f>TRIM(RIGHT(E543,LEN(E543)-FIND("@",SUBSTITUTE(E543,"|","@",LEN(E543)-LEN(SUBSTITUTE(E543,"|",""))))))</f>
        <v>Smartphones</v>
      </c>
      <c r="E543" t="s">
        <v>725</v>
      </c>
      <c r="F543" s="1">
        <v>12999</v>
      </c>
      <c r="G543" s="1">
        <v>18999</v>
      </c>
      <c r="H543" s="6">
        <v>32</v>
      </c>
      <c r="I543">
        <v>4.0999999999999996</v>
      </c>
      <c r="J543" s="1">
        <v>50772</v>
      </c>
    </row>
    <row r="544" spans="1:10">
      <c r="A544" t="s">
        <v>1129</v>
      </c>
      <c r="B544" t="s">
        <v>1130</v>
      </c>
      <c r="C544" t="str">
        <f>LEFT(B544,FIND(" ",B544)-1)</f>
        <v>Spigen</v>
      </c>
      <c r="D544" t="str">
        <f>TRIM(RIGHT(E544,LEN(E544)-FIND("@",SUBSTITUTE(E544,"|","@",LEN(E544)-LEN(SUBSTITUTE(E544,"|",""))))))</f>
        <v>BasicCases</v>
      </c>
      <c r="E544" t="s">
        <v>981</v>
      </c>
      <c r="F544" s="1">
        <v>1599</v>
      </c>
      <c r="G544" s="1">
        <v>2599</v>
      </c>
      <c r="H544" s="6">
        <v>38</v>
      </c>
      <c r="I544">
        <v>4.3</v>
      </c>
      <c r="J544" s="1">
        <v>1801</v>
      </c>
    </row>
    <row r="545" spans="1:10">
      <c r="A545" t="s">
        <v>1131</v>
      </c>
      <c r="B545" t="s">
        <v>1132</v>
      </c>
      <c r="C545" t="str">
        <f>LEFT(B545,FIND(" ",B545)-1)</f>
        <v>Oraimo</v>
      </c>
      <c r="D545" t="str">
        <f>TRIM(RIGHT(E545,LEN(E545)-FIND("@",SUBSTITUTE(E545,"|","@",LEN(E545)-LEN(SUBSTITUTE(E545,"|",""))))))</f>
        <v>WallChargers</v>
      </c>
      <c r="E545" t="s">
        <v>774</v>
      </c>
      <c r="F545">
        <v>699</v>
      </c>
      <c r="G545" s="1">
        <v>1199</v>
      </c>
      <c r="H545" s="6">
        <v>42</v>
      </c>
      <c r="I545">
        <v>4</v>
      </c>
      <c r="J545" s="1">
        <v>14404</v>
      </c>
    </row>
    <row r="546" spans="1:10">
      <c r="A546" t="s">
        <v>1133</v>
      </c>
      <c r="B546" t="s">
        <v>1134</v>
      </c>
      <c r="C546" t="str">
        <f>LEFT(B546,FIND(" ",B546)-1)</f>
        <v>LAPSTER</v>
      </c>
      <c r="D546" t="str">
        <f>TRIM(RIGHT(E546,LEN(E546)-FIND("@",SUBSTITUTE(E546,"|","@",LEN(E546)-LEN(SUBSTITUTE(E546,"|",""))))))</f>
        <v>PhoneCharms</v>
      </c>
      <c r="E546" t="s">
        <v>1135</v>
      </c>
      <c r="F546">
        <v>99</v>
      </c>
      <c r="G546">
        <v>999</v>
      </c>
      <c r="H546" s="6">
        <v>9</v>
      </c>
      <c r="I546">
        <v>4.4000000000000004</v>
      </c>
      <c r="J546">
        <v>305</v>
      </c>
    </row>
    <row r="547" spans="1:10">
      <c r="A547" t="s">
        <v>1136</v>
      </c>
      <c r="B547" t="s">
        <v>1137</v>
      </c>
      <c r="C547" t="str">
        <f>LEFT(B547,FIND(" ",B547)-1)</f>
        <v>MI</v>
      </c>
      <c r="D547" t="str">
        <f>TRIM(RIGHT(E547,LEN(E547)-FIND("@",SUBSTITUTE(E547,"|","@",LEN(E547)-LEN(SUBSTITUTE(E547,"|",""))))))</f>
        <v>Smartphones</v>
      </c>
      <c r="E547" t="s">
        <v>725</v>
      </c>
      <c r="F547" s="1">
        <v>7915</v>
      </c>
      <c r="G547" s="1">
        <v>9999</v>
      </c>
      <c r="H547" s="6">
        <v>21</v>
      </c>
      <c r="I547">
        <v>4.3</v>
      </c>
      <c r="J547" s="1">
        <v>1376</v>
      </c>
    </row>
    <row r="548" spans="1:10">
      <c r="A548" t="s">
        <v>1138</v>
      </c>
      <c r="B548" t="s">
        <v>1139</v>
      </c>
      <c r="C548" t="str">
        <f>LEFT(B548,FIND(" ",B548)-1)</f>
        <v>Fire-Boltt</v>
      </c>
      <c r="D548" t="str">
        <f>TRIM(RIGHT(E548,LEN(E548)-FIND("@",SUBSTITUTE(E548,"|","@",LEN(E548)-LEN(SUBSTITUTE(E548,"|",""))))))</f>
        <v>SmartWatches</v>
      </c>
      <c r="E548" t="s">
        <v>714</v>
      </c>
      <c r="F548" s="1">
        <v>1499</v>
      </c>
      <c r="G548" s="1">
        <v>7999</v>
      </c>
      <c r="H548" s="6">
        <v>81</v>
      </c>
      <c r="I548">
        <v>4.2</v>
      </c>
      <c r="J548" s="1">
        <v>22638</v>
      </c>
    </row>
    <row r="549" spans="1:10">
      <c r="A549" t="s">
        <v>1140</v>
      </c>
      <c r="B549" t="s">
        <v>1141</v>
      </c>
      <c r="C549" t="str">
        <f>LEFT(B549,FIND(" ",B549)-1)</f>
        <v>Lava</v>
      </c>
      <c r="D549" t="str">
        <f>TRIM(RIGHT(E549,LEN(E549)-FIND("@",SUBSTITUTE(E549,"|","@",LEN(E549)-LEN(SUBSTITUTE(E549,"|",""))))))</f>
        <v>BasicMobiles</v>
      </c>
      <c r="E549" t="s">
        <v>741</v>
      </c>
      <c r="F549" s="1">
        <v>1055</v>
      </c>
      <c r="G549" s="1">
        <v>1249</v>
      </c>
      <c r="H549" s="6">
        <v>16</v>
      </c>
      <c r="I549">
        <v>3.8</v>
      </c>
      <c r="J549" s="1">
        <v>2352</v>
      </c>
    </row>
    <row r="550" spans="1:10">
      <c r="A550" t="s">
        <v>1142</v>
      </c>
      <c r="B550" t="s">
        <v>1143</v>
      </c>
      <c r="C550" t="str">
        <f>LEFT(B550,FIND(" ",B550)-1)</f>
        <v>POPIO</v>
      </c>
      <c r="D550" t="str">
        <f>TRIM(RIGHT(E550,LEN(E550)-FIND("@",SUBSTITUTE(E550,"|","@",LEN(E550)-LEN(SUBSTITUTE(E550,"|",""))))))</f>
        <v>ScreenProtectors</v>
      </c>
      <c r="E550" t="s">
        <v>933</v>
      </c>
      <c r="F550">
        <v>150</v>
      </c>
      <c r="G550">
        <v>599</v>
      </c>
      <c r="H550" s="6">
        <v>75</v>
      </c>
      <c r="I550">
        <v>4.3</v>
      </c>
      <c r="J550">
        <v>714</v>
      </c>
    </row>
    <row r="551" spans="1:10">
      <c r="A551" t="s">
        <v>169</v>
      </c>
      <c r="B551" t="s">
        <v>170</v>
      </c>
      <c r="C551" t="str">
        <f>LEFT(B551,FIND(" ",B551)-1)</f>
        <v>Amazon</v>
      </c>
      <c r="D551" t="str">
        <f>TRIM(RIGHT(E551,LEN(E551)-FIND("@",SUBSTITUTE(E551,"|","@",LEN(E551)-LEN(SUBSTITUTE(E551,"|",""))))))</f>
        <v>USBCables</v>
      </c>
      <c r="E551" t="s">
        <v>23</v>
      </c>
      <c r="F551">
        <v>219</v>
      </c>
      <c r="G551">
        <v>700</v>
      </c>
      <c r="H551" s="6">
        <v>69</v>
      </c>
      <c r="I551">
        <v>4.3</v>
      </c>
      <c r="J551" s="1">
        <v>20052</v>
      </c>
    </row>
    <row r="552" spans="1:10">
      <c r="A552" t="s">
        <v>1144</v>
      </c>
      <c r="B552" t="s">
        <v>1145</v>
      </c>
      <c r="C552" t="str">
        <f>LEFT(B552,FIND(" ",B552)-1)</f>
        <v>Amozo</v>
      </c>
      <c r="D552" t="str">
        <f>TRIM(RIGHT(E552,LEN(E552)-FIND("@",SUBSTITUTE(E552,"|","@",LEN(E552)-LEN(SUBSTITUTE(E552,"|",""))))))</f>
        <v>BasicCases</v>
      </c>
      <c r="E552" t="s">
        <v>981</v>
      </c>
      <c r="F552">
        <v>474</v>
      </c>
      <c r="G552" s="1">
        <v>1799</v>
      </c>
      <c r="H552" s="6">
        <v>74</v>
      </c>
      <c r="I552">
        <v>4.3</v>
      </c>
      <c r="J552" s="1">
        <v>1454</v>
      </c>
    </row>
    <row r="553" spans="1:10">
      <c r="A553" t="s">
        <v>1146</v>
      </c>
      <c r="B553" t="s">
        <v>1147</v>
      </c>
      <c r="C553" t="str">
        <f>LEFT(B553,FIND(" ",B553)-1)</f>
        <v>FLiX</v>
      </c>
      <c r="D553" t="str">
        <f>TRIM(RIGHT(E553,LEN(E553)-FIND("@",SUBSTITUTE(E553,"|","@",LEN(E553)-LEN(SUBSTITUTE(E553,"|",""))))))</f>
        <v>WallChargers</v>
      </c>
      <c r="E553" t="s">
        <v>774</v>
      </c>
      <c r="F553">
        <v>239</v>
      </c>
      <c r="G553">
        <v>599</v>
      </c>
      <c r="H553" s="6">
        <v>6</v>
      </c>
      <c r="I553">
        <v>3.9</v>
      </c>
      <c r="J553" s="1">
        <v>2147</v>
      </c>
    </row>
    <row r="554" spans="1:10">
      <c r="A554" t="s">
        <v>1148</v>
      </c>
      <c r="B554" t="s">
        <v>1149</v>
      </c>
      <c r="C554" t="str">
        <f>LEFT(B554,FIND(" ",B554)-1)</f>
        <v>Redmi</v>
      </c>
      <c r="D554" t="str">
        <f>TRIM(RIGHT(E554,LEN(E554)-FIND("@",SUBSTITUTE(E554,"|","@",LEN(E554)-LEN(SUBSTITUTE(E554,"|",""))))))</f>
        <v>Smartphones</v>
      </c>
      <c r="E554" t="s">
        <v>725</v>
      </c>
      <c r="F554" s="1">
        <v>7499</v>
      </c>
      <c r="G554" s="1">
        <v>9499</v>
      </c>
      <c r="H554" s="6">
        <v>21</v>
      </c>
      <c r="I554">
        <v>4.0999999999999996</v>
      </c>
      <c r="J554" t="s">
        <v>976</v>
      </c>
    </row>
    <row r="555" spans="1:10">
      <c r="A555" t="s">
        <v>1150</v>
      </c>
      <c r="B555" t="s">
        <v>1151</v>
      </c>
      <c r="C555" t="str">
        <f>LEFT(B555,FIND(" ",B555)-1)</f>
        <v>Prolet</v>
      </c>
      <c r="D555" t="str">
        <f>TRIM(RIGHT(E555,LEN(E555)-FIND("@",SUBSTITUTE(E555,"|","@",LEN(E555)-LEN(SUBSTITUTE(E555,"|",""))))))</f>
        <v>SmartWatches</v>
      </c>
      <c r="E555" t="s">
        <v>714</v>
      </c>
      <c r="F555">
        <v>265</v>
      </c>
      <c r="G555">
        <v>999</v>
      </c>
      <c r="H555" s="6">
        <v>73</v>
      </c>
      <c r="I555">
        <v>3.7</v>
      </c>
      <c r="J555">
        <v>465</v>
      </c>
    </row>
    <row r="556" spans="1:10">
      <c r="A556" t="s">
        <v>1152</v>
      </c>
      <c r="B556" t="s">
        <v>1153</v>
      </c>
      <c r="C556" t="str">
        <f>LEFT(B556,FIND(" ",B556)-1)</f>
        <v>Samsung</v>
      </c>
      <c r="D556" t="str">
        <f>TRIM(RIGHT(E556,LEN(E556)-FIND("@",SUBSTITUTE(E556,"|","@",LEN(E556)-LEN(SUBSTITUTE(E556,"|",""))))))</f>
        <v>Smartphones</v>
      </c>
      <c r="E556" t="s">
        <v>725</v>
      </c>
      <c r="F556" s="1">
        <v>37990</v>
      </c>
      <c r="G556" s="1">
        <v>74999</v>
      </c>
      <c r="H556" s="6">
        <v>49</v>
      </c>
      <c r="I556">
        <v>4.2</v>
      </c>
      <c r="J556" s="1">
        <v>27790</v>
      </c>
    </row>
    <row r="557" spans="1:10">
      <c r="A557" t="s">
        <v>1154</v>
      </c>
      <c r="B557" t="s">
        <v>1155</v>
      </c>
      <c r="C557" t="str">
        <f>LEFT(B557,FIND(" ",B557)-1)</f>
        <v>WeCool</v>
      </c>
      <c r="D557" t="str">
        <f>TRIM(RIGHT(E557,LEN(E557)-FIND("@",SUBSTITUTE(E557,"|","@",LEN(E557)-LEN(SUBSTITUTE(E557,"|",""))))))</f>
        <v>SelfieSticks</v>
      </c>
      <c r="E557" t="s">
        <v>839</v>
      </c>
      <c r="F557" s="1">
        <v>1799</v>
      </c>
      <c r="G557" s="1">
        <v>3999</v>
      </c>
      <c r="H557" s="6">
        <v>55</v>
      </c>
      <c r="I557">
        <v>4.5999999999999996</v>
      </c>
      <c r="J557">
        <v>245</v>
      </c>
    </row>
    <row r="558" spans="1:10">
      <c r="A558" t="s">
        <v>1156</v>
      </c>
      <c r="B558" t="s">
        <v>1157</v>
      </c>
      <c r="C558" t="str">
        <f>LEFT(B558,FIND(" ",B558)-1)</f>
        <v>POCO</v>
      </c>
      <c r="D558" t="str">
        <f>TRIM(RIGHT(E558,LEN(E558)-FIND("@",SUBSTITUTE(E558,"|","@",LEN(E558)-LEN(SUBSTITUTE(E558,"|",""))))))</f>
        <v>Smartphones</v>
      </c>
      <c r="E558" t="s">
        <v>725</v>
      </c>
      <c r="F558" s="1">
        <v>8499</v>
      </c>
      <c r="G558" s="1">
        <v>11999</v>
      </c>
      <c r="H558" s="6">
        <v>29</v>
      </c>
      <c r="I558">
        <v>3.9</v>
      </c>
      <c r="J558">
        <v>276</v>
      </c>
    </row>
    <row r="559" spans="1:10">
      <c r="A559" t="s">
        <v>1158</v>
      </c>
      <c r="B559" t="s">
        <v>1159</v>
      </c>
      <c r="C559" t="str">
        <f>LEFT(B559,FIND(" ",B559)-1)</f>
        <v>Noise</v>
      </c>
      <c r="D559" t="str">
        <f>TRIM(RIGHT(E559,LEN(E559)-FIND("@",SUBSTITUTE(E559,"|","@",LEN(E559)-LEN(SUBSTITUTE(E559,"|",""))))))</f>
        <v>SmartWatches</v>
      </c>
      <c r="E559" t="s">
        <v>714</v>
      </c>
      <c r="F559" s="1">
        <v>1999</v>
      </c>
      <c r="G559" s="1">
        <v>3999</v>
      </c>
      <c r="H559" s="6">
        <v>5</v>
      </c>
      <c r="I559">
        <v>4</v>
      </c>
      <c r="J559" s="1">
        <v>30254</v>
      </c>
    </row>
    <row r="560" spans="1:10">
      <c r="A560" t="s">
        <v>1160</v>
      </c>
      <c r="B560" t="s">
        <v>805</v>
      </c>
      <c r="C560" t="str">
        <f>LEFT(B560,FIND(" ",B560)-1)</f>
        <v>Fire-Boltt</v>
      </c>
      <c r="D560" t="str">
        <f>TRIM(RIGHT(E560,LEN(E560)-FIND("@",SUBSTITUTE(E560,"|","@",LEN(E560)-LEN(SUBSTITUTE(E560,"|",""))))))</f>
        <v>SmartWatches</v>
      </c>
      <c r="E560" t="s">
        <v>714</v>
      </c>
      <c r="F560" s="1">
        <v>3999</v>
      </c>
      <c r="G560" s="1">
        <v>17999</v>
      </c>
      <c r="H560" s="6">
        <v>78</v>
      </c>
      <c r="I560">
        <v>4.3</v>
      </c>
      <c r="J560" s="1">
        <v>17161</v>
      </c>
    </row>
    <row r="561" spans="1:10">
      <c r="A561" t="s">
        <v>1161</v>
      </c>
      <c r="B561" t="s">
        <v>1162</v>
      </c>
      <c r="C561" t="str">
        <f>LEFT(B561,FIND(" ",B561)-1)</f>
        <v>Amazon</v>
      </c>
      <c r="D561" t="str">
        <f>TRIM(RIGHT(E561,LEN(E561)-FIND("@",SUBSTITUTE(E561,"|","@",LEN(E561)-LEN(SUBSTITUTE(E561,"|",""))))))</f>
        <v>WallChargers</v>
      </c>
      <c r="E561" t="s">
        <v>774</v>
      </c>
      <c r="F561">
        <v>219</v>
      </c>
      <c r="G561">
        <v>499</v>
      </c>
      <c r="H561" s="6">
        <v>56</v>
      </c>
      <c r="I561">
        <v>4.4000000000000004</v>
      </c>
      <c r="J561">
        <v>14</v>
      </c>
    </row>
    <row r="562" spans="1:10">
      <c r="A562" t="s">
        <v>1163</v>
      </c>
      <c r="B562" t="s">
        <v>1164</v>
      </c>
      <c r="C562" t="str">
        <f>LEFT(B562,FIND(" ",B562)-1)</f>
        <v>Mobilife</v>
      </c>
      <c r="D562" t="str">
        <f>TRIM(RIGHT(E562,LEN(E562)-FIND("@",SUBSTITUTE(E562,"|","@",LEN(E562)-LEN(SUBSTITUTE(E562,"|",""))))))</f>
        <v>SelfieSticks</v>
      </c>
      <c r="E562" t="s">
        <v>839</v>
      </c>
      <c r="F562">
        <v>599</v>
      </c>
      <c r="G562" s="1">
        <v>1399</v>
      </c>
      <c r="H562" s="6">
        <v>57</v>
      </c>
      <c r="I562">
        <v>4.0999999999999996</v>
      </c>
      <c r="J562" s="1">
        <v>14560</v>
      </c>
    </row>
    <row r="563" spans="1:10">
      <c r="A563" t="s">
        <v>1165</v>
      </c>
      <c r="B563" t="s">
        <v>1166</v>
      </c>
      <c r="C563" t="str">
        <f>LEFT(B563,FIND(" ",B563)-1)</f>
        <v>Ambrane</v>
      </c>
      <c r="D563" t="str">
        <f>TRIM(RIGHT(E563,LEN(E563)-FIND("@",SUBSTITUTE(E563,"|","@",LEN(E563)-LEN(SUBSTITUTE(E563,"|",""))))))</f>
        <v>PowerBanks</v>
      </c>
      <c r="E563" t="s">
        <v>721</v>
      </c>
      <c r="F563" s="1">
        <v>2499</v>
      </c>
      <c r="G563" s="1">
        <v>2999</v>
      </c>
      <c r="H563" s="6">
        <v>17</v>
      </c>
      <c r="I563">
        <v>4.0999999999999996</v>
      </c>
      <c r="J563" s="1">
        <v>3156</v>
      </c>
    </row>
    <row r="564" spans="1:10">
      <c r="A564" t="s">
        <v>1167</v>
      </c>
      <c r="B564" t="s">
        <v>1168</v>
      </c>
      <c r="C564" t="str">
        <f>LEFT(B564,FIND(" ",B564)-1)</f>
        <v>STRIFF</v>
      </c>
      <c r="D564" t="str">
        <f>TRIM(RIGHT(E564,LEN(E564)-FIND("@",SUBSTITUTE(E564,"|","@",LEN(E564)-LEN(SUBSTITUTE(E564,"|",""))))))</f>
        <v>Shower&amp;WallMounts</v>
      </c>
      <c r="E564" t="s">
        <v>1169</v>
      </c>
      <c r="F564">
        <v>89</v>
      </c>
      <c r="G564">
        <v>499</v>
      </c>
      <c r="H564" s="6">
        <v>82</v>
      </c>
      <c r="I564">
        <v>4.0999999999999996</v>
      </c>
      <c r="J564" s="1">
        <v>9340</v>
      </c>
    </row>
    <row r="565" spans="1:10">
      <c r="A565" t="s">
        <v>1170</v>
      </c>
      <c r="B565" t="s">
        <v>1171</v>
      </c>
      <c r="C565" t="str">
        <f>LEFT(B565,FIND(" ",B565)-1)</f>
        <v>Fire-Boltt</v>
      </c>
      <c r="D565" t="str">
        <f>TRIM(RIGHT(E565,LEN(E565)-FIND("@",SUBSTITUTE(E565,"|","@",LEN(E565)-LEN(SUBSTITUTE(E565,"|",""))))))</f>
        <v>SmartWatches</v>
      </c>
      <c r="E565" t="s">
        <v>714</v>
      </c>
      <c r="F565" s="1">
        <v>2999</v>
      </c>
      <c r="G565" s="1">
        <v>11999</v>
      </c>
      <c r="H565" s="6">
        <v>75</v>
      </c>
      <c r="I565">
        <v>4.4000000000000004</v>
      </c>
      <c r="J565">
        <v>768</v>
      </c>
    </row>
    <row r="566" spans="1:10">
      <c r="A566" t="s">
        <v>1172</v>
      </c>
      <c r="B566" t="s">
        <v>1173</v>
      </c>
      <c r="C566" t="str">
        <f>LEFT(B566,FIND(" ",B566)-1)</f>
        <v>Elv</v>
      </c>
      <c r="D566" t="str">
        <f>TRIM(RIGHT(E566,LEN(E566)-FIND("@",SUBSTITUTE(E566,"|","@",LEN(E566)-LEN(SUBSTITUTE(E566,"|",""))))))</f>
        <v>Stands</v>
      </c>
      <c r="E566" t="s">
        <v>855</v>
      </c>
      <c r="F566">
        <v>314</v>
      </c>
      <c r="G566" s="1">
        <v>1499</v>
      </c>
      <c r="H566" s="6">
        <v>79</v>
      </c>
      <c r="I566">
        <v>4.5</v>
      </c>
      <c r="J566" s="1">
        <v>28978</v>
      </c>
    </row>
    <row r="567" spans="1:10">
      <c r="A567" t="s">
        <v>1174</v>
      </c>
      <c r="B567" t="s">
        <v>1175</v>
      </c>
      <c r="C567" t="str">
        <f>LEFT(B567,FIND(" ",B567)-1)</f>
        <v>Samsung</v>
      </c>
      <c r="D567" t="str">
        <f>TRIM(RIGHT(E567,LEN(E567)-FIND("@",SUBSTITUTE(E567,"|","@",LEN(E567)-LEN(SUBSTITUTE(E567,"|",""))))))</f>
        <v>Smartphones</v>
      </c>
      <c r="E567" t="s">
        <v>725</v>
      </c>
      <c r="F567" s="1">
        <v>13999</v>
      </c>
      <c r="G567" s="1">
        <v>19499</v>
      </c>
      <c r="H567" s="6">
        <v>28</v>
      </c>
      <c r="I567">
        <v>4.0999999999999996</v>
      </c>
      <c r="J567" s="1">
        <v>18998</v>
      </c>
    </row>
    <row r="568" spans="1:10">
      <c r="A568" t="s">
        <v>1176</v>
      </c>
      <c r="B568" t="s">
        <v>1177</v>
      </c>
      <c r="C568" t="str">
        <f>LEFT(B568,FIND(" ",B568)-1)</f>
        <v>DYAZO</v>
      </c>
      <c r="D568" t="str">
        <f>TRIM(RIGHT(E568,LEN(E568)-FIND("@",SUBSTITUTE(E568,"|","@",LEN(E568)-LEN(SUBSTITUTE(E568,"|",""))))))</f>
        <v>OTGAdapters</v>
      </c>
      <c r="E568" t="s">
        <v>803</v>
      </c>
      <c r="F568">
        <v>139</v>
      </c>
      <c r="G568">
        <v>499</v>
      </c>
      <c r="H568" s="6">
        <v>72</v>
      </c>
      <c r="I568">
        <v>4.2</v>
      </c>
      <c r="J568" s="1">
        <v>4971</v>
      </c>
    </row>
    <row r="569" spans="1:10">
      <c r="A569" t="s">
        <v>1178</v>
      </c>
      <c r="B569" t="s">
        <v>1179</v>
      </c>
      <c r="C569" t="str">
        <f>LEFT(B569,FIND(" ",B569)-1)</f>
        <v>KINGONE</v>
      </c>
      <c r="D569" t="str">
        <f>TRIM(RIGHT(E569,LEN(E569)-FIND("@",SUBSTITUTE(E569,"|","@",LEN(E569)-LEN(SUBSTITUTE(E569,"|",""))))))</f>
        <v>StylusPens</v>
      </c>
      <c r="E569" t="s">
        <v>956</v>
      </c>
      <c r="F569" s="1">
        <v>2599</v>
      </c>
      <c r="G569" s="1">
        <v>6999</v>
      </c>
      <c r="H569" s="6">
        <v>63</v>
      </c>
      <c r="I569">
        <v>4.5</v>
      </c>
      <c r="J569" s="1">
        <v>1526</v>
      </c>
    </row>
    <row r="570" spans="1:10">
      <c r="A570" t="s">
        <v>1180</v>
      </c>
      <c r="B570" t="s">
        <v>1181</v>
      </c>
      <c r="C570" t="str">
        <f>LEFT(B570,FIND(" ",B570)-1)</f>
        <v>boAt</v>
      </c>
      <c r="D570" t="str">
        <f>TRIM(RIGHT(E570,LEN(E570)-FIND("@",SUBSTITUTE(E570,"|","@",LEN(E570)-LEN(SUBSTITUTE(E570,"|",""))))))</f>
        <v>In-Ear</v>
      </c>
      <c r="E570" t="s">
        <v>747</v>
      </c>
      <c r="F570">
        <v>365</v>
      </c>
      <c r="G570">
        <v>999</v>
      </c>
      <c r="H570" s="6">
        <v>63</v>
      </c>
      <c r="I570">
        <v>4.0999999999999996</v>
      </c>
      <c r="J570" t="s">
        <v>1182</v>
      </c>
    </row>
    <row r="571" spans="1:10">
      <c r="A571" t="s">
        <v>1183</v>
      </c>
      <c r="B571" t="s">
        <v>1184</v>
      </c>
      <c r="C571" t="str">
        <f>LEFT(B571,FIND(" ",B571)-1)</f>
        <v>boAt</v>
      </c>
      <c r="D571" t="str">
        <f>TRIM(RIGHT(E571,LEN(E571)-FIND("@",SUBSTITUTE(E571,"|","@",LEN(E571)-LEN(SUBSTITUTE(E571,"|",""))))))</f>
        <v>In-Ear</v>
      </c>
      <c r="E571" t="s">
        <v>747</v>
      </c>
      <c r="F571" s="1">
        <v>1499</v>
      </c>
      <c r="G571" s="1">
        <v>4490</v>
      </c>
      <c r="H571" s="6">
        <v>67</v>
      </c>
      <c r="I571">
        <v>3.9</v>
      </c>
      <c r="J571" t="s">
        <v>1185</v>
      </c>
    </row>
    <row r="572" spans="1:10">
      <c r="A572" t="s">
        <v>715</v>
      </c>
      <c r="B572" t="s">
        <v>716</v>
      </c>
      <c r="C572" t="str">
        <f>LEFT(B572,FIND(" ",B572)-1)</f>
        <v>Fire-Boltt</v>
      </c>
      <c r="D572" t="str">
        <f>TRIM(RIGHT(E572,LEN(E572)-FIND("@",SUBSTITUTE(E572,"|","@",LEN(E572)-LEN(SUBSTITUTE(E572,"|",""))))))</f>
        <v>SmartWatches</v>
      </c>
      <c r="E572" t="s">
        <v>714</v>
      </c>
      <c r="F572" s="1">
        <v>1998</v>
      </c>
      <c r="G572" s="1">
        <v>9999</v>
      </c>
      <c r="H572" s="6">
        <v>8</v>
      </c>
      <c r="I572">
        <v>4.3</v>
      </c>
      <c r="J572" s="1">
        <v>27709</v>
      </c>
    </row>
    <row r="573" spans="1:10">
      <c r="A573" t="s">
        <v>717</v>
      </c>
      <c r="B573" t="s">
        <v>718</v>
      </c>
      <c r="C573" t="str">
        <f>LEFT(B573,FIND(" ",B573)-1)</f>
        <v>boAt</v>
      </c>
      <c r="D573" t="str">
        <f>TRIM(RIGHT(E573,LEN(E573)-FIND("@",SUBSTITUTE(E573,"|","@",LEN(E573)-LEN(SUBSTITUTE(E573,"|",""))))))</f>
        <v>SmartWatches</v>
      </c>
      <c r="E573" t="s">
        <v>714</v>
      </c>
      <c r="F573" s="1">
        <v>1799</v>
      </c>
      <c r="G573" s="1">
        <v>7990</v>
      </c>
      <c r="H573" s="6">
        <v>77</v>
      </c>
      <c r="I573">
        <v>3.8</v>
      </c>
      <c r="J573" s="1">
        <v>17833</v>
      </c>
    </row>
    <row r="574" spans="1:10">
      <c r="A574" t="s">
        <v>1186</v>
      </c>
      <c r="B574" t="s">
        <v>1187</v>
      </c>
      <c r="C574" t="str">
        <f>LEFT(B574,FIND(" ",B574)-1)</f>
        <v>SanDisk</v>
      </c>
      <c r="D574" t="str">
        <f>TRIM(RIGHT(E574,LEN(E574)-FIND("@",SUBSTITUTE(E574,"|","@",LEN(E574)-LEN(SUBSTITUTE(E574,"|",""))))))</f>
        <v>PenDrives</v>
      </c>
      <c r="E574" t="s">
        <v>1188</v>
      </c>
      <c r="F574">
        <v>289</v>
      </c>
      <c r="G574">
        <v>650</v>
      </c>
      <c r="H574" s="6">
        <v>56</v>
      </c>
      <c r="I574">
        <v>4.3</v>
      </c>
      <c r="J574" t="s">
        <v>1189</v>
      </c>
    </row>
    <row r="575" spans="1:10">
      <c r="A575" t="s">
        <v>1190</v>
      </c>
      <c r="B575" t="s">
        <v>1191</v>
      </c>
      <c r="C575" t="str">
        <f>LEFT(B575,FIND(" ",B575)-1)</f>
        <v>Logitech</v>
      </c>
      <c r="D575" t="str">
        <f>TRIM(RIGHT(E575,LEN(E575)-FIND("@",SUBSTITUTE(E575,"|","@",LEN(E575)-LEN(SUBSTITUTE(E575,"|",""))))))</f>
        <v>Mice</v>
      </c>
      <c r="E575" t="s">
        <v>1192</v>
      </c>
      <c r="F575">
        <v>599</v>
      </c>
      <c r="G575">
        <v>895</v>
      </c>
      <c r="H575" s="6">
        <v>33</v>
      </c>
      <c r="I575">
        <v>4.4000000000000004</v>
      </c>
      <c r="J575" s="1">
        <v>61314</v>
      </c>
    </row>
    <row r="576" spans="1:10">
      <c r="A576" t="s">
        <v>1193</v>
      </c>
      <c r="B576" t="s">
        <v>1194</v>
      </c>
      <c r="C576" t="str">
        <f>LEFT(B576,FIND(" ",B576)-1)</f>
        <v>Storio</v>
      </c>
      <c r="D576" t="str">
        <f>TRIM(RIGHT(E576,LEN(E576)-FIND("@",SUBSTITUTE(E576,"|","@",LEN(E576)-LEN(SUBSTITUTE(E576,"|",""))))))</f>
        <v>GraphicTablets</v>
      </c>
      <c r="E576" t="s">
        <v>1195</v>
      </c>
      <c r="F576">
        <v>217</v>
      </c>
      <c r="G576">
        <v>237</v>
      </c>
      <c r="H576" s="6">
        <v>8</v>
      </c>
      <c r="I576">
        <v>3.8</v>
      </c>
      <c r="J576" s="1">
        <v>7354</v>
      </c>
    </row>
    <row r="577" spans="1:10">
      <c r="A577" t="s">
        <v>1196</v>
      </c>
      <c r="B577" t="s">
        <v>1197</v>
      </c>
      <c r="C577" t="str">
        <f>LEFT(B577,FIND(" ",B577)-1)</f>
        <v>boAt</v>
      </c>
      <c r="D577" t="str">
        <f>TRIM(RIGHT(E577,LEN(E577)-FIND("@",SUBSTITUTE(E577,"|","@",LEN(E577)-LEN(SUBSTITUTE(E577,"|",""))))))</f>
        <v>In-Ear</v>
      </c>
      <c r="E577" t="s">
        <v>747</v>
      </c>
      <c r="F577" s="1">
        <v>1299</v>
      </c>
      <c r="G577" s="1">
        <v>2990</v>
      </c>
      <c r="H577" s="6">
        <v>57</v>
      </c>
      <c r="I577">
        <v>3.8</v>
      </c>
      <c r="J577" t="s">
        <v>1198</v>
      </c>
    </row>
    <row r="578" spans="1:10">
      <c r="A578" t="s">
        <v>1199</v>
      </c>
      <c r="B578" t="s">
        <v>1200</v>
      </c>
      <c r="C578" t="str">
        <f>LEFT(B578,FIND(" ",B578)-1)</f>
        <v>SKE</v>
      </c>
      <c r="D578" t="str">
        <f>TRIM(RIGHT(E578,LEN(E578)-FIND("@",SUBSTITUTE(E578,"|","@",LEN(E578)-LEN(SUBSTITUTE(E578,"|",""))))))</f>
        <v>Lapdesks</v>
      </c>
      <c r="E578" t="s">
        <v>1201</v>
      </c>
      <c r="F578">
        <v>263</v>
      </c>
      <c r="G578">
        <v>699</v>
      </c>
      <c r="H578" s="6">
        <v>62</v>
      </c>
      <c r="I578">
        <v>3.5</v>
      </c>
      <c r="J578">
        <v>690</v>
      </c>
    </row>
    <row r="579" spans="1:10">
      <c r="A579" t="s">
        <v>734</v>
      </c>
      <c r="B579" t="s">
        <v>735</v>
      </c>
      <c r="C579" t="str">
        <f>LEFT(B579,FIND(" ",B579)-1)</f>
        <v>SanDisk</v>
      </c>
      <c r="D579" t="str">
        <f>TRIM(RIGHT(E579,LEN(E579)-FIND("@",SUBSTITUTE(E579,"|","@",LEN(E579)-LEN(SUBSTITUTE(E579,"|",""))))))</f>
        <v>MicroSD</v>
      </c>
      <c r="E579" t="s">
        <v>736</v>
      </c>
      <c r="F579">
        <v>569</v>
      </c>
      <c r="G579" s="1">
        <v>1000</v>
      </c>
      <c r="H579" s="6">
        <v>43</v>
      </c>
      <c r="I579">
        <v>4.4000000000000004</v>
      </c>
      <c r="J579" s="1">
        <v>67262</v>
      </c>
    </row>
    <row r="580" spans="1:10">
      <c r="A580" t="s">
        <v>737</v>
      </c>
      <c r="B580" t="s">
        <v>738</v>
      </c>
      <c r="C580" t="str">
        <f>LEFT(B580,FIND(" ",B580)-1)</f>
        <v>Noise</v>
      </c>
      <c r="D580" t="str">
        <f>TRIM(RIGHT(E580,LEN(E580)-FIND("@",SUBSTITUTE(E580,"|","@",LEN(E580)-LEN(SUBSTITUTE(E580,"|",""))))))</f>
        <v>SmartWatches</v>
      </c>
      <c r="E580" t="s">
        <v>714</v>
      </c>
      <c r="F580" s="1">
        <v>1999</v>
      </c>
      <c r="G580" s="1">
        <v>4999</v>
      </c>
      <c r="H580" s="6">
        <v>6</v>
      </c>
      <c r="I580">
        <v>4.0999999999999996</v>
      </c>
      <c r="J580" s="1">
        <v>10689</v>
      </c>
    </row>
    <row r="581" spans="1:10">
      <c r="A581" t="s">
        <v>1202</v>
      </c>
      <c r="B581" t="s">
        <v>1203</v>
      </c>
      <c r="C581" t="str">
        <f>LEFT(B581,FIND(" ",B581)-1)</f>
        <v>boAt</v>
      </c>
      <c r="D581" t="str">
        <f>TRIM(RIGHT(E581,LEN(E581)-FIND("@",SUBSTITUTE(E581,"|","@",LEN(E581)-LEN(SUBSTITUTE(E581,"|",""))))))</f>
        <v>In-Ear</v>
      </c>
      <c r="E581" t="s">
        <v>747</v>
      </c>
      <c r="F581" s="1">
        <v>1399</v>
      </c>
      <c r="G581" s="1">
        <v>3990</v>
      </c>
      <c r="H581" s="6">
        <v>65</v>
      </c>
      <c r="I581">
        <v>4.0999999999999996</v>
      </c>
      <c r="J581" t="s">
        <v>1204</v>
      </c>
    </row>
    <row r="582" spans="1:10">
      <c r="A582" t="s">
        <v>1205</v>
      </c>
      <c r="B582" t="s">
        <v>1206</v>
      </c>
      <c r="C582" t="str">
        <f>LEFT(B582,FIND(" ",B582)-1)</f>
        <v>STRIFF</v>
      </c>
      <c r="D582" t="str">
        <f>TRIM(RIGHT(E582,LEN(E582)-FIND("@",SUBSTITUTE(E582,"|","@",LEN(E582)-LEN(SUBSTITUTE(E582,"|",""))))))</f>
        <v>NotebookComputerStands</v>
      </c>
      <c r="E582" t="s">
        <v>1207</v>
      </c>
      <c r="F582">
        <v>349</v>
      </c>
      <c r="G582" s="1">
        <v>1499</v>
      </c>
      <c r="H582" s="6">
        <v>77</v>
      </c>
      <c r="I582">
        <v>4.3</v>
      </c>
      <c r="J582" s="1">
        <v>24791</v>
      </c>
    </row>
    <row r="583" spans="1:10">
      <c r="A583" t="s">
        <v>1208</v>
      </c>
      <c r="B583" t="s">
        <v>1209</v>
      </c>
      <c r="C583" t="str">
        <f>LEFT(B583,FIND(" ",B583)-1)</f>
        <v>ZEBRONICS</v>
      </c>
      <c r="D583" t="str">
        <f>TRIM(RIGHT(E583,LEN(E583)-FIND("@",SUBSTITUTE(E583,"|","@",LEN(E583)-LEN(SUBSTITUTE(E583,"|",""))))))</f>
        <v>In-Ear</v>
      </c>
      <c r="E583" t="s">
        <v>747</v>
      </c>
      <c r="F583">
        <v>149</v>
      </c>
      <c r="G583">
        <v>399</v>
      </c>
      <c r="H583" s="6">
        <v>63</v>
      </c>
      <c r="I583">
        <v>3.5</v>
      </c>
      <c r="J583" s="1">
        <v>21764</v>
      </c>
    </row>
    <row r="584" spans="1:10">
      <c r="A584" t="s">
        <v>745</v>
      </c>
      <c r="B584" t="s">
        <v>746</v>
      </c>
      <c r="C584" t="str">
        <f>LEFT(B584,FIND(" ",B584)-1)</f>
        <v>JBL</v>
      </c>
      <c r="D584" t="str">
        <f>TRIM(RIGHT(E584,LEN(E584)-FIND("@",SUBSTITUTE(E584,"|","@",LEN(E584)-LEN(SUBSTITUTE(E584,"|",""))))))</f>
        <v>In-Ear</v>
      </c>
      <c r="E584" t="s">
        <v>747</v>
      </c>
      <c r="F584">
        <v>599</v>
      </c>
      <c r="G584">
        <v>999</v>
      </c>
      <c r="H584" s="6">
        <v>4</v>
      </c>
      <c r="I584">
        <v>4.0999999999999996</v>
      </c>
      <c r="J584" t="s">
        <v>1210</v>
      </c>
    </row>
    <row r="585" spans="1:10">
      <c r="A585" t="s">
        <v>1211</v>
      </c>
      <c r="B585" t="s">
        <v>1212</v>
      </c>
      <c r="C585" t="str">
        <f>LEFT(B585,FIND(" ",B585)-1)</f>
        <v>boAt</v>
      </c>
      <c r="D585" t="str">
        <f>TRIM(RIGHT(E585,LEN(E585)-FIND("@",SUBSTITUTE(E585,"|","@",LEN(E585)-LEN(SUBSTITUTE(E585,"|",""))))))</f>
        <v>On-Ear</v>
      </c>
      <c r="E585" t="s">
        <v>1093</v>
      </c>
      <c r="F585" s="1">
        <v>1220</v>
      </c>
      <c r="G585" s="1">
        <v>3990</v>
      </c>
      <c r="H585" s="6">
        <v>69</v>
      </c>
      <c r="I585">
        <v>4.0999999999999996</v>
      </c>
      <c r="J585" t="s">
        <v>1213</v>
      </c>
    </row>
    <row r="586" spans="1:10">
      <c r="A586" t="s">
        <v>743</v>
      </c>
      <c r="B586" t="s">
        <v>744</v>
      </c>
      <c r="C586" t="str">
        <f>LEFT(B586,FIND(" ",B586)-1)</f>
        <v>boAt</v>
      </c>
      <c r="D586" t="str">
        <f>TRIM(RIGHT(E586,LEN(E586)-FIND("@",SUBSTITUTE(E586,"|","@",LEN(E586)-LEN(SUBSTITUTE(E586,"|",""))))))</f>
        <v>SmartWatches</v>
      </c>
      <c r="E586" t="s">
        <v>714</v>
      </c>
      <c r="F586" s="1">
        <v>1499</v>
      </c>
      <c r="G586" s="1">
        <v>6990</v>
      </c>
      <c r="H586" s="6">
        <v>79</v>
      </c>
      <c r="I586">
        <v>3.9</v>
      </c>
      <c r="J586" s="1">
        <v>21797</v>
      </c>
    </row>
    <row r="587" spans="1:10">
      <c r="A587" t="s">
        <v>1214</v>
      </c>
      <c r="B587" t="s">
        <v>1215</v>
      </c>
      <c r="C587" t="str">
        <f>LEFT(B587,FIND(" ",B587)-1)</f>
        <v>JBL</v>
      </c>
      <c r="D587" t="str">
        <f>TRIM(RIGHT(E587,LEN(E587)-FIND("@",SUBSTITUTE(E587,"|","@",LEN(E587)-LEN(SUBSTITUTE(E587,"|",""))))))</f>
        <v>In-Ear</v>
      </c>
      <c r="E587" t="s">
        <v>747</v>
      </c>
      <c r="F587">
        <v>499</v>
      </c>
      <c r="G587">
        <v>999</v>
      </c>
      <c r="H587" s="6">
        <v>5</v>
      </c>
      <c r="I587">
        <v>3.9</v>
      </c>
      <c r="J587" s="1">
        <v>92995</v>
      </c>
    </row>
    <row r="588" spans="1:10">
      <c r="A588" t="s">
        <v>1216</v>
      </c>
      <c r="B588" t="s">
        <v>1217</v>
      </c>
      <c r="C588" t="str">
        <f>LEFT(B588,FIND(" ",B588)-1)</f>
        <v>LAPSTER</v>
      </c>
      <c r="D588" t="str">
        <f>TRIM(RIGHT(E588,LEN(E588)-FIND("@",SUBSTITUTE(E588,"|","@",LEN(E588)-LEN(SUBSTITUTE(E588,"|",""))))))</f>
        <v>CableConnectionProtectors</v>
      </c>
      <c r="E588" t="s">
        <v>862</v>
      </c>
      <c r="F588">
        <v>99</v>
      </c>
      <c r="G588">
        <v>999</v>
      </c>
      <c r="H588" s="6">
        <v>9</v>
      </c>
      <c r="I588">
        <v>4.0999999999999996</v>
      </c>
      <c r="J588" s="1">
        <v>8751</v>
      </c>
    </row>
    <row r="589" spans="1:10">
      <c r="A589" t="s">
        <v>755</v>
      </c>
      <c r="B589" t="s">
        <v>756</v>
      </c>
      <c r="C589" t="str">
        <f>LEFT(B589,FIND(" ",B589)-1)</f>
        <v>pTron</v>
      </c>
      <c r="D589" t="str">
        <f>TRIM(RIGHT(E589,LEN(E589)-FIND("@",SUBSTITUTE(E589,"|","@",LEN(E589)-LEN(SUBSTITUTE(E589,"|",""))))))</f>
        <v>AutomobileChargers</v>
      </c>
      <c r="E589" t="s">
        <v>757</v>
      </c>
      <c r="F589">
        <v>349</v>
      </c>
      <c r="G589" s="1">
        <v>1299</v>
      </c>
      <c r="H589" s="6">
        <v>73</v>
      </c>
      <c r="I589">
        <v>4</v>
      </c>
      <c r="J589" s="1">
        <v>14283</v>
      </c>
    </row>
    <row r="590" spans="1:10">
      <c r="A590" t="s">
        <v>1218</v>
      </c>
      <c r="B590" t="s">
        <v>1219</v>
      </c>
      <c r="C590" t="str">
        <f>LEFT(B590,FIND(" ",B590)-1)</f>
        <v>HP</v>
      </c>
      <c r="D590" t="str">
        <f>TRIM(RIGHT(E590,LEN(E590)-FIND("@",SUBSTITUTE(E590,"|","@",LEN(E590)-LEN(SUBSTITUTE(E590,"|",""))))))</f>
        <v>PenDrives</v>
      </c>
      <c r="E590" t="s">
        <v>1188</v>
      </c>
      <c r="F590">
        <v>475</v>
      </c>
      <c r="G590" s="1">
        <v>1500</v>
      </c>
      <c r="H590" s="6">
        <v>68</v>
      </c>
      <c r="I590">
        <v>4.2</v>
      </c>
      <c r="J590" s="1">
        <v>64273</v>
      </c>
    </row>
    <row r="591" spans="1:10">
      <c r="A591" t="s">
        <v>1220</v>
      </c>
      <c r="B591" t="s">
        <v>1221</v>
      </c>
      <c r="C591" t="str">
        <f>LEFT(B591,FIND(" ",B591)-1)</f>
        <v>HP</v>
      </c>
      <c r="D591" t="str">
        <f>TRIM(RIGHT(E591,LEN(E591)-FIND("@",SUBSTITUTE(E591,"|","@",LEN(E591)-LEN(SUBSTITUTE(E591,"|",""))))))</f>
        <v>Mice</v>
      </c>
      <c r="E591" t="s">
        <v>1192</v>
      </c>
      <c r="F591">
        <v>269</v>
      </c>
      <c r="G591">
        <v>649</v>
      </c>
      <c r="H591" s="6">
        <v>59</v>
      </c>
      <c r="I591">
        <v>4.3</v>
      </c>
      <c r="J591" s="1">
        <v>54315</v>
      </c>
    </row>
    <row r="592" spans="1:10">
      <c r="A592" t="s">
        <v>1222</v>
      </c>
      <c r="B592" t="s">
        <v>1223</v>
      </c>
      <c r="C592" t="str">
        <f>LEFT(B592,FIND(" ",B592)-1)</f>
        <v>Portronics</v>
      </c>
      <c r="D592" t="str">
        <f>TRIM(RIGHT(E592,LEN(E592)-FIND("@",SUBSTITUTE(E592,"|","@",LEN(E592)-LEN(SUBSTITUTE(E592,"|",""))))))</f>
        <v>Mice</v>
      </c>
      <c r="E592" t="s">
        <v>1192</v>
      </c>
      <c r="F592">
        <v>299</v>
      </c>
      <c r="G592">
        <v>599</v>
      </c>
      <c r="H592" s="6">
        <v>5</v>
      </c>
      <c r="I592">
        <v>4.0999999999999996</v>
      </c>
      <c r="J592" s="1">
        <v>1597</v>
      </c>
    </row>
    <row r="593" spans="1:10">
      <c r="A593" t="s">
        <v>777</v>
      </c>
      <c r="B593" t="s">
        <v>778</v>
      </c>
      <c r="C593" t="str">
        <f>LEFT(B593,FIND(" ",B593)-1)</f>
        <v>Fire-Boltt</v>
      </c>
      <c r="D593" t="str">
        <f>TRIM(RIGHT(E593,LEN(E593)-FIND("@",SUBSTITUTE(E593,"|","@",LEN(E593)-LEN(SUBSTITUTE(E593,"|",""))))))</f>
        <v>SmartWatches</v>
      </c>
      <c r="E593" t="s">
        <v>714</v>
      </c>
      <c r="F593" s="1">
        <v>1499</v>
      </c>
      <c r="G593" s="1">
        <v>7999</v>
      </c>
      <c r="H593" s="6">
        <v>81</v>
      </c>
      <c r="I593">
        <v>4.2</v>
      </c>
      <c r="J593" s="1">
        <v>22638</v>
      </c>
    </row>
    <row r="594" spans="1:10">
      <c r="A594" t="s">
        <v>1224</v>
      </c>
      <c r="B594" t="s">
        <v>1225</v>
      </c>
      <c r="C594" t="str">
        <f>LEFT(B594,FIND(" ",B594)-1)</f>
        <v>Boult</v>
      </c>
      <c r="D594" t="str">
        <f>TRIM(RIGHT(E594,LEN(E594)-FIND("@",SUBSTITUTE(E594,"|","@",LEN(E594)-LEN(SUBSTITUTE(E594,"|",""))))))</f>
        <v>In-Ear</v>
      </c>
      <c r="E594" t="s">
        <v>747</v>
      </c>
      <c r="F594">
        <v>329</v>
      </c>
      <c r="G594">
        <v>999</v>
      </c>
      <c r="H594" s="6">
        <v>67</v>
      </c>
      <c r="I594">
        <v>3.9</v>
      </c>
      <c r="J594" s="1">
        <v>77027</v>
      </c>
    </row>
    <row r="595" spans="1:10">
      <c r="A595" t="s">
        <v>1226</v>
      </c>
      <c r="B595" t="s">
        <v>1227</v>
      </c>
      <c r="C595" t="str">
        <f>LEFT(B595,FIND(" ",B595)-1)</f>
        <v>Dell</v>
      </c>
      <c r="D595" t="str">
        <f>TRIM(RIGHT(E595,LEN(E595)-FIND("@",SUBSTITUTE(E595,"|","@",LEN(E595)-LEN(SUBSTITUTE(E595,"|",""))))))</f>
        <v>Keyboards</v>
      </c>
      <c r="E595" t="s">
        <v>1228</v>
      </c>
      <c r="F595">
        <v>549</v>
      </c>
      <c r="G595" s="1">
        <v>1799</v>
      </c>
      <c r="H595" s="6">
        <v>69</v>
      </c>
      <c r="I595">
        <v>4.3</v>
      </c>
      <c r="J595" s="1">
        <v>28829</v>
      </c>
    </row>
    <row r="596" spans="1:10">
      <c r="A596" t="s">
        <v>786</v>
      </c>
      <c r="B596" t="s">
        <v>787</v>
      </c>
      <c r="C596" t="str">
        <f>LEFT(B596,FIND(" ",B596)-1)</f>
        <v>Fire-Boltt</v>
      </c>
      <c r="D596" t="str">
        <f>TRIM(RIGHT(E596,LEN(E596)-FIND("@",SUBSTITUTE(E596,"|","@",LEN(E596)-LEN(SUBSTITUTE(E596,"|",""))))))</f>
        <v>SmartWatches</v>
      </c>
      <c r="E596" t="s">
        <v>714</v>
      </c>
      <c r="F596" s="1">
        <v>2199</v>
      </c>
      <c r="G596" s="1">
        <v>9999</v>
      </c>
      <c r="H596" s="6">
        <v>78</v>
      </c>
      <c r="I596">
        <v>4.2</v>
      </c>
      <c r="J596" s="1">
        <v>29478</v>
      </c>
    </row>
    <row r="597" spans="1:10">
      <c r="A597" t="s">
        <v>1229</v>
      </c>
      <c r="B597" t="s">
        <v>1230</v>
      </c>
      <c r="C597" t="str">
        <f>LEFT(B597,FIND(" ",B597)-1)</f>
        <v>Dell</v>
      </c>
      <c r="D597" t="str">
        <f>TRIM(RIGHT(E597,LEN(E597)-FIND("@",SUBSTITUTE(E597,"|","@",LEN(E597)-LEN(SUBSTITUTE(E597,"|",""))))))</f>
        <v>Mice</v>
      </c>
      <c r="E597" t="s">
        <v>1192</v>
      </c>
      <c r="F597">
        <v>299</v>
      </c>
      <c r="G597">
        <v>650</v>
      </c>
      <c r="H597" s="6">
        <v>54</v>
      </c>
      <c r="I597">
        <v>4.5</v>
      </c>
      <c r="J597" s="1">
        <v>33176</v>
      </c>
    </row>
    <row r="598" spans="1:10">
      <c r="A598" t="s">
        <v>1231</v>
      </c>
      <c r="B598" t="s">
        <v>1232</v>
      </c>
      <c r="C598" t="str">
        <f>LEFT(B598,FIND(" ",B598)-1)</f>
        <v>Boya</v>
      </c>
      <c r="D598" t="str">
        <f>TRIM(RIGHT(E598,LEN(E598)-FIND("@",SUBSTITUTE(E598,"|","@",LEN(E598)-LEN(SUBSTITUTE(E598,"|",""))))))</f>
        <v>Condenser</v>
      </c>
      <c r="E598" t="s">
        <v>1233</v>
      </c>
      <c r="F598">
        <v>798</v>
      </c>
      <c r="G598" s="1">
        <v>1995</v>
      </c>
      <c r="H598" s="6">
        <v>6</v>
      </c>
      <c r="I598">
        <v>4</v>
      </c>
      <c r="J598" s="1">
        <v>68664</v>
      </c>
    </row>
    <row r="599" spans="1:10">
      <c r="A599" t="s">
        <v>1234</v>
      </c>
      <c r="B599" t="s">
        <v>1235</v>
      </c>
      <c r="C599" t="str">
        <f>LEFT(B599,FIND(" ",B599)-1)</f>
        <v>Duracell</v>
      </c>
      <c r="D599" t="str">
        <f>TRIM(RIGHT(E599,LEN(E599)-FIND("@",SUBSTITUTE(E599,"|","@",LEN(E599)-LEN(SUBSTITUTE(E599,"|",""))))))</f>
        <v>DisposableBatteries</v>
      </c>
      <c r="E599" t="s">
        <v>1236</v>
      </c>
      <c r="F599">
        <v>266</v>
      </c>
      <c r="G599">
        <v>315</v>
      </c>
      <c r="H599" s="6">
        <v>16</v>
      </c>
      <c r="I599">
        <v>4.5</v>
      </c>
      <c r="J599" s="1">
        <v>28030</v>
      </c>
    </row>
    <row r="600" spans="1:10">
      <c r="A600" t="s">
        <v>1237</v>
      </c>
      <c r="B600" t="s">
        <v>1238</v>
      </c>
      <c r="C600" t="str">
        <f>LEFT(B600,FIND(" ",B600)-1)</f>
        <v>Classmate</v>
      </c>
      <c r="D600" t="str">
        <f>TRIM(RIGHT(E600,LEN(E600)-FIND("@",SUBSTITUTE(E600,"|","@",LEN(E600)-LEN(SUBSTITUTE(E600,"|",""))))))</f>
        <v>GelInkRollerballPens</v>
      </c>
      <c r="E600" t="s">
        <v>1239</v>
      </c>
      <c r="F600">
        <v>50</v>
      </c>
      <c r="G600">
        <v>50</v>
      </c>
      <c r="H600" s="6">
        <v>0</v>
      </c>
      <c r="I600">
        <v>4.3</v>
      </c>
      <c r="J600" s="1">
        <v>5792</v>
      </c>
    </row>
    <row r="601" spans="1:10">
      <c r="A601" t="s">
        <v>1240</v>
      </c>
      <c r="B601" t="s">
        <v>1241</v>
      </c>
      <c r="C601" t="str">
        <f>LEFT(B601,FIND(" ",B601)-1)</f>
        <v>3M</v>
      </c>
      <c r="D601" t="str">
        <f>TRIM(RIGHT(E601,LEN(E601)-FIND("@",SUBSTITUTE(E601,"|","@",LEN(E601)-LEN(SUBSTITUTE(E601,"|",""))))))</f>
        <v>Tape</v>
      </c>
      <c r="E601" t="s">
        <v>1242</v>
      </c>
      <c r="F601">
        <v>130</v>
      </c>
      <c r="G601">
        <v>165</v>
      </c>
      <c r="H601" s="6">
        <v>21</v>
      </c>
      <c r="I601">
        <v>3.9</v>
      </c>
      <c r="J601" s="1">
        <v>14778</v>
      </c>
    </row>
    <row r="602" spans="1:10">
      <c r="A602" t="s">
        <v>1243</v>
      </c>
      <c r="B602" t="s">
        <v>1244</v>
      </c>
      <c r="C602" t="str">
        <f>LEFT(B602,FIND(" ",B602)-1)</f>
        <v>boAt</v>
      </c>
      <c r="D602" t="str">
        <f>TRIM(RIGHT(E602,LEN(E602)-FIND("@",SUBSTITUTE(E602,"|","@",LEN(E602)-LEN(SUBSTITUTE(E602,"|",""))))))</f>
        <v>In-Ear</v>
      </c>
      <c r="E602" t="s">
        <v>747</v>
      </c>
      <c r="F602">
        <v>449</v>
      </c>
      <c r="G602" s="1">
        <v>1290</v>
      </c>
      <c r="H602" s="6">
        <v>65</v>
      </c>
      <c r="I602">
        <v>4.0999999999999996</v>
      </c>
      <c r="J602" s="1">
        <v>91770</v>
      </c>
    </row>
    <row r="603" spans="1:10">
      <c r="A603" t="s">
        <v>804</v>
      </c>
      <c r="B603" t="s">
        <v>805</v>
      </c>
      <c r="C603" t="str">
        <f>LEFT(B603,FIND(" ",B603)-1)</f>
        <v>Fire-Boltt</v>
      </c>
      <c r="D603" t="str">
        <f>TRIM(RIGHT(E603,LEN(E603)-FIND("@",SUBSTITUTE(E603,"|","@",LEN(E603)-LEN(SUBSTITUTE(E603,"|",""))))))</f>
        <v>SmartWatches</v>
      </c>
      <c r="E603" t="s">
        <v>714</v>
      </c>
      <c r="F603" s="1">
        <v>3999</v>
      </c>
      <c r="G603" s="1">
        <v>16999</v>
      </c>
      <c r="H603" s="6">
        <v>76</v>
      </c>
      <c r="I603">
        <v>4.3</v>
      </c>
      <c r="J603" s="1">
        <v>17162</v>
      </c>
    </row>
    <row r="604" spans="1:10">
      <c r="A604" t="s">
        <v>1245</v>
      </c>
      <c r="B604" t="s">
        <v>1246</v>
      </c>
      <c r="C604" t="str">
        <f>LEFT(B604,FIND(" ",B604)-1)</f>
        <v>boAt</v>
      </c>
      <c r="D604" t="str">
        <f>TRIM(RIGHT(E604,LEN(E604)-FIND("@",SUBSTITUTE(E604,"|","@",LEN(E604)-LEN(SUBSTITUTE(E604,"|",""))))))</f>
        <v>In-Ear</v>
      </c>
      <c r="E604" t="s">
        <v>747</v>
      </c>
      <c r="F604">
        <v>399</v>
      </c>
      <c r="G604" s="1">
        <v>1290</v>
      </c>
      <c r="H604" s="6">
        <v>69</v>
      </c>
      <c r="I604">
        <v>4.2</v>
      </c>
      <c r="J604">
        <v>206</v>
      </c>
    </row>
    <row r="605" spans="1:10">
      <c r="A605" t="s">
        <v>1247</v>
      </c>
      <c r="B605" t="s">
        <v>1248</v>
      </c>
      <c r="C605" t="str">
        <f>LEFT(B605,FIND(" ",B605)-1)</f>
        <v>Dell</v>
      </c>
      <c r="D605" t="str">
        <f>TRIM(RIGHT(E605,LEN(E605)-FIND("@",SUBSTITUTE(E605,"|","@",LEN(E605)-LEN(SUBSTITUTE(E605,"|",""))))))</f>
        <v>Keyboard&amp;MouseSets</v>
      </c>
      <c r="E605" t="s">
        <v>1249</v>
      </c>
      <c r="F605" s="1">
        <v>1399</v>
      </c>
      <c r="G605" s="1">
        <v>2498</v>
      </c>
      <c r="H605" s="6">
        <v>44</v>
      </c>
      <c r="I605">
        <v>4.2</v>
      </c>
      <c r="J605" s="1">
        <v>33717</v>
      </c>
    </row>
    <row r="606" spans="1:10">
      <c r="A606" t="s">
        <v>1250</v>
      </c>
      <c r="B606" t="s">
        <v>1251</v>
      </c>
      <c r="C606" t="str">
        <f>LEFT(B606,FIND(" ",B606)-1)</f>
        <v>Seagate</v>
      </c>
      <c r="D606" t="str">
        <f>TRIM(RIGHT(E606,LEN(E606)-FIND("@",SUBSTITUTE(E606,"|","@",LEN(E606)-LEN(SUBSTITUTE(E606,"|",""))))))</f>
        <v>ExternalHardDisks</v>
      </c>
      <c r="E606" t="s">
        <v>1252</v>
      </c>
      <c r="F606" s="1">
        <v>4098</v>
      </c>
      <c r="G606" s="1">
        <v>4999</v>
      </c>
      <c r="H606" s="6">
        <v>18</v>
      </c>
      <c r="I606">
        <v>4.5</v>
      </c>
      <c r="J606" s="1">
        <v>50810</v>
      </c>
    </row>
    <row r="607" spans="1:10">
      <c r="A607" t="s">
        <v>1253</v>
      </c>
      <c r="B607" t="s">
        <v>1254</v>
      </c>
      <c r="C607" t="str">
        <f>LEFT(B607,FIND(" ",B607)-1)</f>
        <v>HP</v>
      </c>
      <c r="D607" t="str">
        <f>TRIM(RIGHT(E607,LEN(E607)-FIND("@",SUBSTITUTE(E607,"|","@",LEN(E607)-LEN(SUBSTITUTE(E607,"|",""))))))</f>
        <v>VideoCameras</v>
      </c>
      <c r="E607" t="s">
        <v>1255</v>
      </c>
      <c r="F607">
        <v>499</v>
      </c>
      <c r="G607" s="1">
        <v>1999</v>
      </c>
      <c r="H607" s="6">
        <v>75</v>
      </c>
      <c r="I607">
        <v>3.7</v>
      </c>
      <c r="J607" s="1">
        <v>3369</v>
      </c>
    </row>
    <row r="608" spans="1:10">
      <c r="A608" t="s">
        <v>1256</v>
      </c>
      <c r="B608" t="s">
        <v>1257</v>
      </c>
      <c r="C608" t="str">
        <f>LEFT(B608,FIND(" ",B608)-1)</f>
        <v>ZEBRONICS</v>
      </c>
      <c r="D608" t="str">
        <f>TRIM(RIGHT(E608,LEN(E608)-FIND("@",SUBSTITUTE(E608,"|","@",LEN(E608)-LEN(SUBSTITUTE(E608,"|",""))))))</f>
        <v>Mice</v>
      </c>
      <c r="E608" t="s">
        <v>1192</v>
      </c>
      <c r="F608">
        <v>299</v>
      </c>
      <c r="G608">
        <v>449</v>
      </c>
      <c r="H608" s="6">
        <v>33</v>
      </c>
      <c r="I608">
        <v>3.5</v>
      </c>
      <c r="J608" s="1">
        <v>11827</v>
      </c>
    </row>
    <row r="609" spans="1:10">
      <c r="A609" t="s">
        <v>1258</v>
      </c>
      <c r="B609" t="s">
        <v>1259</v>
      </c>
      <c r="C609" t="str">
        <f>LEFT(B609,FIND(" ",B609)-1)</f>
        <v>Zebronics</v>
      </c>
      <c r="D609" t="str">
        <f>TRIM(RIGHT(E609,LEN(E609)-FIND("@",SUBSTITUTE(E609,"|","@",LEN(E609)-LEN(SUBSTITUTE(E609,"|",""))))))</f>
        <v>Keyboard&amp;MouseSets</v>
      </c>
      <c r="E609" t="s">
        <v>1249</v>
      </c>
      <c r="F609">
        <v>699</v>
      </c>
      <c r="G609">
        <v>999</v>
      </c>
      <c r="H609" s="6">
        <v>3</v>
      </c>
      <c r="I609">
        <v>3.5</v>
      </c>
      <c r="J609" s="1">
        <v>15295</v>
      </c>
    </row>
    <row r="610" spans="1:10">
      <c r="A610" t="s">
        <v>1260</v>
      </c>
      <c r="B610" t="s">
        <v>1261</v>
      </c>
      <c r="C610" t="str">
        <f>LEFT(B610,FIND(" ",B610)-1)</f>
        <v>SYVO</v>
      </c>
      <c r="D610" t="str">
        <f>TRIM(RIGHT(E610,LEN(E610)-FIND("@",SUBSTITUTE(E610,"|","@",LEN(E610)-LEN(SUBSTITUTE(E610,"|",""))))))</f>
        <v>Tabletop&amp;TravelTripods</v>
      </c>
      <c r="E610" t="s">
        <v>1262</v>
      </c>
      <c r="F610">
        <v>799</v>
      </c>
      <c r="G610" s="1">
        <v>3990</v>
      </c>
      <c r="H610" s="6">
        <v>8</v>
      </c>
      <c r="I610">
        <v>4.3</v>
      </c>
      <c r="J610" s="1">
        <v>27139</v>
      </c>
    </row>
    <row r="611" spans="1:10">
      <c r="A611" t="s">
        <v>1263</v>
      </c>
      <c r="B611" t="s">
        <v>1264</v>
      </c>
      <c r="C611" t="str">
        <f>LEFT(B611,FIND(" ",B611)-1)</f>
        <v>Boult</v>
      </c>
      <c r="D611" t="str">
        <f>TRIM(RIGHT(E611,LEN(E611)-FIND("@",SUBSTITUTE(E611,"|","@",LEN(E611)-LEN(SUBSTITUTE(E611,"|",""))))))</f>
        <v>In-Ear</v>
      </c>
      <c r="E611" t="s">
        <v>747</v>
      </c>
      <c r="F611" s="1">
        <v>1399</v>
      </c>
      <c r="G611" s="1">
        <v>5499</v>
      </c>
      <c r="H611" s="6">
        <v>75</v>
      </c>
      <c r="I611">
        <v>3.9</v>
      </c>
      <c r="J611" s="1">
        <v>9504</v>
      </c>
    </row>
    <row r="612" spans="1:10">
      <c r="A612" t="s">
        <v>1265</v>
      </c>
      <c r="B612" t="s">
        <v>1266</v>
      </c>
      <c r="C612" t="str">
        <f>LEFT(B612,FIND(" ",B612)-1)</f>
        <v>SanDisk</v>
      </c>
      <c r="D612" t="str">
        <f>TRIM(RIGHT(E612,LEN(E612)-FIND("@",SUBSTITUTE(E612,"|","@",LEN(E612)-LEN(SUBSTITUTE(E612,"|",""))))))</f>
        <v>PenDrives</v>
      </c>
      <c r="E612" t="s">
        <v>1188</v>
      </c>
      <c r="F612">
        <v>519</v>
      </c>
      <c r="G612" s="1">
        <v>1350</v>
      </c>
      <c r="H612" s="6">
        <v>62</v>
      </c>
      <c r="I612">
        <v>4.3</v>
      </c>
      <c r="J612" s="1">
        <v>30058</v>
      </c>
    </row>
    <row r="613" spans="1:10">
      <c r="A613" t="s">
        <v>835</v>
      </c>
      <c r="B613" t="s">
        <v>836</v>
      </c>
      <c r="C613" t="str">
        <f>LEFT(B613,FIND(" ",B613)-1)</f>
        <v>boAt</v>
      </c>
      <c r="D613" t="str">
        <f>TRIM(RIGHT(E613,LEN(E613)-FIND("@",SUBSTITUTE(E613,"|","@",LEN(E613)-LEN(SUBSTITUTE(E613,"|",""))))))</f>
        <v>SmartWatches</v>
      </c>
      <c r="E613" t="s">
        <v>714</v>
      </c>
      <c r="F613" s="1">
        <v>2299</v>
      </c>
      <c r="G613" s="1">
        <v>7990</v>
      </c>
      <c r="H613" s="6">
        <v>71</v>
      </c>
      <c r="I613">
        <v>4.2</v>
      </c>
      <c r="J613" s="1">
        <v>69619</v>
      </c>
    </row>
    <row r="614" spans="1:10">
      <c r="A614" t="s">
        <v>1267</v>
      </c>
      <c r="B614" t="s">
        <v>1268</v>
      </c>
      <c r="C614" t="str">
        <f>LEFT(B614,FIND(" ",B614)-1)</f>
        <v>boAt</v>
      </c>
      <c r="D614" t="str">
        <f>TRIM(RIGHT(E614,LEN(E614)-FIND("@",SUBSTITUTE(E614,"|","@",LEN(E614)-LEN(SUBSTITUTE(E614,"|",""))))))</f>
        <v>In-Ear</v>
      </c>
      <c r="E614" t="s">
        <v>747</v>
      </c>
      <c r="F614" s="1">
        <v>1499</v>
      </c>
      <c r="G614" s="1">
        <v>3990</v>
      </c>
      <c r="H614" s="6">
        <v>62</v>
      </c>
      <c r="I614">
        <v>4.0999999999999996</v>
      </c>
      <c r="J614" t="s">
        <v>1269</v>
      </c>
    </row>
    <row r="615" spans="1:10">
      <c r="A615" t="s">
        <v>1270</v>
      </c>
      <c r="B615" t="s">
        <v>1271</v>
      </c>
      <c r="C615" t="str">
        <f>LEFT(B615,FIND(" ",B615)-1)</f>
        <v>Casio</v>
      </c>
      <c r="D615" t="str">
        <f>TRIM(RIGHT(E615,LEN(E615)-FIND("@",SUBSTITUTE(E615,"|","@",LEN(E615)-LEN(SUBSTITUTE(E615,"|",""))))))</f>
        <v>Scientific</v>
      </c>
      <c r="E615" t="s">
        <v>1272</v>
      </c>
      <c r="F615" s="1">
        <v>1295</v>
      </c>
      <c r="G615" s="1">
        <v>1295</v>
      </c>
      <c r="H615" s="6">
        <v>0</v>
      </c>
      <c r="I615">
        <v>4.5</v>
      </c>
      <c r="J615" s="1">
        <v>5760</v>
      </c>
    </row>
    <row r="616" spans="1:10">
      <c r="A616" t="s">
        <v>1273</v>
      </c>
      <c r="B616" t="s">
        <v>1274</v>
      </c>
      <c r="C616" t="str">
        <f>LEFT(B616,FIND(" ",B616)-1)</f>
        <v>TP-Link</v>
      </c>
      <c r="D616" t="str">
        <f>TRIM(RIGHT(E616,LEN(E616)-FIND("@",SUBSTITUTE(E616,"|","@",LEN(E616)-LEN(SUBSTITUTE(E616,"|",""))))))</f>
        <v>Repeaters&amp;Extenders</v>
      </c>
      <c r="E616" t="s">
        <v>1275</v>
      </c>
      <c r="F616" s="1">
        <v>1889</v>
      </c>
      <c r="G616" s="1">
        <v>5499</v>
      </c>
      <c r="H616" s="6">
        <v>66</v>
      </c>
      <c r="I616">
        <v>4.2</v>
      </c>
      <c r="J616" s="1">
        <v>49551</v>
      </c>
    </row>
    <row r="617" spans="1:10">
      <c r="A617" t="s">
        <v>1276</v>
      </c>
      <c r="B617" t="s">
        <v>1277</v>
      </c>
      <c r="C617" t="str">
        <f>LEFT(B617,FIND(" ",B617)-1)</f>
        <v>boAt</v>
      </c>
      <c r="D617" t="str">
        <f>TRIM(RIGHT(E617,LEN(E617)-FIND("@",SUBSTITUTE(E617,"|","@",LEN(E617)-LEN(SUBSTITUTE(E617,"|",""))))))</f>
        <v>In-Ear</v>
      </c>
      <c r="E617" t="s">
        <v>747</v>
      </c>
      <c r="F617">
        <v>455</v>
      </c>
      <c r="G617" s="1">
        <v>1490</v>
      </c>
      <c r="H617" s="6">
        <v>69</v>
      </c>
      <c r="I617">
        <v>4.0999999999999996</v>
      </c>
      <c r="J617" t="s">
        <v>1278</v>
      </c>
    </row>
    <row r="618" spans="1:10">
      <c r="A618" t="s">
        <v>1279</v>
      </c>
      <c r="B618" t="s">
        <v>1280</v>
      </c>
      <c r="C618" t="str">
        <f>LEFT(B618,FIND(" ",B618)-1)</f>
        <v>DIGITEKÂ®</v>
      </c>
      <c r="D618" t="str">
        <f>TRIM(RIGHT(E618,LEN(E618)-FIND("@",SUBSTITUTE(E618,"|","@",LEN(E618)-LEN(SUBSTITUTE(E618,"|",""))))))</f>
        <v>TripodLegs</v>
      </c>
      <c r="E618" t="s">
        <v>1281</v>
      </c>
      <c r="F618">
        <v>399</v>
      </c>
      <c r="G618">
        <v>995</v>
      </c>
      <c r="H618" s="6">
        <v>6</v>
      </c>
      <c r="I618">
        <v>3.9</v>
      </c>
      <c r="J618" s="1">
        <v>21372</v>
      </c>
    </row>
    <row r="619" spans="1:10">
      <c r="A619" t="s">
        <v>840</v>
      </c>
      <c r="B619" t="s">
        <v>841</v>
      </c>
      <c r="C619" t="str">
        <f>LEFT(B619,FIND(" ",B619)-1)</f>
        <v>Samsung</v>
      </c>
      <c r="D619" t="str">
        <f>TRIM(RIGHT(E619,LEN(E619)-FIND("@",SUBSTITUTE(E619,"|","@",LEN(E619)-LEN(SUBSTITUTE(E619,"|",""))))))</f>
        <v>MicroSD</v>
      </c>
      <c r="E619" t="s">
        <v>736</v>
      </c>
      <c r="F619" s="1">
        <v>1059</v>
      </c>
      <c r="G619" s="1">
        <v>3999</v>
      </c>
      <c r="H619" s="6">
        <v>74</v>
      </c>
      <c r="I619">
        <v>4.3</v>
      </c>
      <c r="J619" t="s">
        <v>1282</v>
      </c>
    </row>
    <row r="620" spans="1:10">
      <c r="A620" t="s">
        <v>1283</v>
      </c>
      <c r="B620" t="s">
        <v>1284</v>
      </c>
      <c r="C620" t="str">
        <f>LEFT(B620,FIND(" ",B620)-1)</f>
        <v>HP</v>
      </c>
      <c r="D620" t="str">
        <f>TRIM(RIGHT(E620,LEN(E620)-FIND("@",SUBSTITUTE(E620,"|","@",LEN(E620)-LEN(SUBSTITUTE(E620,"|",""))))))</f>
        <v>InkjetInkCartridges</v>
      </c>
      <c r="E620" t="s">
        <v>1285</v>
      </c>
      <c r="F620">
        <v>717</v>
      </c>
      <c r="G620">
        <v>761</v>
      </c>
      <c r="H620" s="6">
        <v>6</v>
      </c>
      <c r="I620">
        <v>4</v>
      </c>
      <c r="J620" s="1">
        <v>7199</v>
      </c>
    </row>
    <row r="621" spans="1:10">
      <c r="A621" t="s">
        <v>1286</v>
      </c>
      <c r="B621" t="s">
        <v>1287</v>
      </c>
      <c r="C621" t="str">
        <f>LEFT(B621,FIND(" ",B621)-1)</f>
        <v>GIZGA</v>
      </c>
      <c r="D621" t="str">
        <f>TRIM(RIGHT(E621,LEN(E621)-FIND("@",SUBSTITUTE(E621,"|","@",LEN(E621)-LEN(SUBSTITUTE(E621,"|",""))))))</f>
        <v>DustCovers</v>
      </c>
      <c r="E621" t="s">
        <v>1288</v>
      </c>
      <c r="F621">
        <v>39</v>
      </c>
      <c r="G621">
        <v>299</v>
      </c>
      <c r="H621" s="6">
        <v>87</v>
      </c>
      <c r="I621">
        <v>3.5</v>
      </c>
      <c r="J621" s="1">
        <v>15233</v>
      </c>
    </row>
    <row r="622" spans="1:10">
      <c r="A622" t="s">
        <v>1289</v>
      </c>
      <c r="B622" t="s">
        <v>1290</v>
      </c>
      <c r="C622" t="str">
        <f>LEFT(B622,FIND(" ",B622)-1)</f>
        <v>SanDisk</v>
      </c>
      <c r="D622" t="str">
        <f>TRIM(RIGHT(E622,LEN(E622)-FIND("@",SUBSTITUTE(E622,"|","@",LEN(E622)-LEN(SUBSTITUTE(E622,"|",""))))))</f>
        <v>PenDrives</v>
      </c>
      <c r="E622" t="s">
        <v>1188</v>
      </c>
      <c r="F622">
        <v>889</v>
      </c>
      <c r="G622" s="1">
        <v>2500</v>
      </c>
      <c r="H622" s="6">
        <v>64</v>
      </c>
      <c r="I622">
        <v>4.3</v>
      </c>
      <c r="J622" s="1">
        <v>55747</v>
      </c>
    </row>
    <row r="623" spans="1:10">
      <c r="A623" t="s">
        <v>1291</v>
      </c>
      <c r="B623" t="s">
        <v>1292</v>
      </c>
      <c r="C623" t="str">
        <f>LEFT(B623,FIND(" ",B623)-1)</f>
        <v>Boult</v>
      </c>
      <c r="D623" t="str">
        <f>TRIM(RIGHT(E623,LEN(E623)-FIND("@",SUBSTITUTE(E623,"|","@",LEN(E623)-LEN(SUBSTITUTE(E623,"|",""))))))</f>
        <v>In-Ear</v>
      </c>
      <c r="E623" t="s">
        <v>747</v>
      </c>
      <c r="F623" s="1">
        <v>1199</v>
      </c>
      <c r="G623" s="1">
        <v>4999</v>
      </c>
      <c r="H623" s="6">
        <v>76</v>
      </c>
      <c r="I623">
        <v>3.8</v>
      </c>
      <c r="J623" s="1">
        <v>14961</v>
      </c>
    </row>
    <row r="624" spans="1:10">
      <c r="A624" t="s">
        <v>1293</v>
      </c>
      <c r="B624" t="s">
        <v>1294</v>
      </c>
      <c r="C624" t="str">
        <f>LEFT(B624,FIND(" ",B624)-1)</f>
        <v>Dell</v>
      </c>
      <c r="D624" t="str">
        <f>TRIM(RIGHT(E624,LEN(E624)-FIND("@",SUBSTITUTE(E624,"|","@",LEN(E624)-LEN(SUBSTITUTE(E624,"|",""))))))</f>
        <v>Mice</v>
      </c>
      <c r="E624" t="s">
        <v>1192</v>
      </c>
      <c r="F624">
        <v>569</v>
      </c>
      <c r="G624" s="1">
        <v>1299</v>
      </c>
      <c r="H624" s="6">
        <v>56</v>
      </c>
      <c r="I624">
        <v>4.4000000000000004</v>
      </c>
      <c r="J624" s="1">
        <v>9275</v>
      </c>
    </row>
    <row r="625" spans="1:10">
      <c r="A625" t="s">
        <v>1295</v>
      </c>
      <c r="B625" t="s">
        <v>1296</v>
      </c>
      <c r="C625" t="str">
        <f>LEFT(B625,FIND(" ",B625)-1)</f>
        <v>Boult</v>
      </c>
      <c r="D625" t="str">
        <f>TRIM(RIGHT(E625,LEN(E625)-FIND("@",SUBSTITUTE(E625,"|","@",LEN(E625)-LEN(SUBSTITUTE(E625,"|",""))))))</f>
        <v>In-Ear</v>
      </c>
      <c r="E625" t="s">
        <v>747</v>
      </c>
      <c r="F625" s="1">
        <v>1499</v>
      </c>
      <c r="G625" s="1">
        <v>8999</v>
      </c>
      <c r="H625" s="6">
        <v>83</v>
      </c>
      <c r="I625">
        <v>3.7</v>
      </c>
      <c r="J625" s="1">
        <v>28324</v>
      </c>
    </row>
    <row r="626" spans="1:10">
      <c r="A626" t="s">
        <v>1297</v>
      </c>
      <c r="B626" t="s">
        <v>1298</v>
      </c>
      <c r="C626" t="str">
        <f>LEFT(B626,FIND(" ",B626)-1)</f>
        <v>Eveready</v>
      </c>
      <c r="D626" t="str">
        <f>TRIM(RIGHT(E626,LEN(E626)-FIND("@",SUBSTITUTE(E626,"|","@",LEN(E626)-LEN(SUBSTITUTE(E626,"|",""))))))</f>
        <v>DisposableBatteries</v>
      </c>
      <c r="E626" t="s">
        <v>1236</v>
      </c>
      <c r="F626">
        <v>149</v>
      </c>
      <c r="G626">
        <v>180</v>
      </c>
      <c r="H626" s="6">
        <v>17</v>
      </c>
      <c r="I626">
        <v>4.4000000000000004</v>
      </c>
      <c r="J626">
        <v>644</v>
      </c>
    </row>
    <row r="627" spans="1:10">
      <c r="A627" t="s">
        <v>1299</v>
      </c>
      <c r="B627" t="s">
        <v>1300</v>
      </c>
      <c r="C627" t="str">
        <f>LEFT(B627,FIND(" ",B627)-1)</f>
        <v>Zebronics</v>
      </c>
      <c r="D627" t="str">
        <f>TRIM(RIGHT(E627,LEN(E627)-FIND("@",SUBSTITUTE(E627,"|","@",LEN(E627)-LEN(SUBSTITUTE(E627,"|",""))))))</f>
        <v>GamingMice</v>
      </c>
      <c r="E627" t="s">
        <v>1301</v>
      </c>
      <c r="F627">
        <v>399</v>
      </c>
      <c r="G627">
        <v>549</v>
      </c>
      <c r="H627" s="6">
        <v>27</v>
      </c>
      <c r="I627">
        <v>4.4000000000000004</v>
      </c>
      <c r="J627" s="1">
        <v>18139</v>
      </c>
    </row>
    <row r="628" spans="1:10">
      <c r="A628" t="s">
        <v>1302</v>
      </c>
      <c r="B628" t="s">
        <v>1303</v>
      </c>
      <c r="C628" t="str">
        <f>LEFT(B628,FIND(" ",B628)-1)</f>
        <v>PIDILITE</v>
      </c>
      <c r="D628" t="str">
        <f>TRIM(RIGHT(E628,LEN(E628)-FIND("@",SUBSTITUTE(E628,"|","@",LEN(E628)-LEN(SUBSTITUTE(E628,"|",""))))))</f>
        <v>Paints</v>
      </c>
      <c r="E628" t="s">
        <v>1304</v>
      </c>
      <c r="F628">
        <v>191</v>
      </c>
      <c r="G628">
        <v>225</v>
      </c>
      <c r="H628" s="6">
        <v>15</v>
      </c>
      <c r="I628">
        <v>4.4000000000000004</v>
      </c>
      <c r="J628" s="1">
        <v>7203</v>
      </c>
    </row>
    <row r="629" spans="1:10">
      <c r="A629" t="s">
        <v>1305</v>
      </c>
      <c r="B629" t="s">
        <v>1306</v>
      </c>
      <c r="C629" t="str">
        <f>LEFT(B629,FIND(" ",B629)-1)</f>
        <v>STRIFF</v>
      </c>
      <c r="D629" t="str">
        <f>TRIM(RIGHT(E629,LEN(E629)-FIND("@",SUBSTITUTE(E629,"|","@",LEN(E629)-LEN(SUBSTITUTE(E629,"|",""))))))</f>
        <v>MousePads</v>
      </c>
      <c r="E629" t="s">
        <v>1307</v>
      </c>
      <c r="F629">
        <v>129</v>
      </c>
      <c r="G629">
        <v>999</v>
      </c>
      <c r="H629" s="6">
        <v>87</v>
      </c>
      <c r="I629">
        <v>4.2</v>
      </c>
      <c r="J629">
        <v>491</v>
      </c>
    </row>
    <row r="630" spans="1:10">
      <c r="A630" t="s">
        <v>1308</v>
      </c>
      <c r="B630" t="s">
        <v>1309</v>
      </c>
      <c r="C630" t="str">
        <f>LEFT(B630,FIND(" ",B630)-1)</f>
        <v>Gizga</v>
      </c>
      <c r="D630" t="str">
        <f>TRIM(RIGHT(E630,LEN(E630)-FIND("@",SUBSTITUTE(E630,"|","@",LEN(E630)-LEN(SUBSTITUTE(E630,"|",""))))))</f>
        <v>HardDiskBags</v>
      </c>
      <c r="E630" t="s">
        <v>1310</v>
      </c>
      <c r="F630">
        <v>199</v>
      </c>
      <c r="G630">
        <v>599</v>
      </c>
      <c r="H630" s="6">
        <v>67</v>
      </c>
      <c r="I630">
        <v>4.5</v>
      </c>
      <c r="J630" s="1">
        <v>13568</v>
      </c>
    </row>
    <row r="631" spans="1:10">
      <c r="A631" t="s">
        <v>1311</v>
      </c>
      <c r="B631" t="s">
        <v>1312</v>
      </c>
      <c r="C631" t="str">
        <f>LEFT(B631,FIND(" ",B631)-1)</f>
        <v>Boult</v>
      </c>
      <c r="D631" t="str">
        <f>TRIM(RIGHT(E631,LEN(E631)-FIND("@",SUBSTITUTE(E631,"|","@",LEN(E631)-LEN(SUBSTITUTE(E631,"|",""))))))</f>
        <v>In-Ear</v>
      </c>
      <c r="E631" t="s">
        <v>747</v>
      </c>
      <c r="F631">
        <v>999</v>
      </c>
      <c r="G631" s="1">
        <v>4499</v>
      </c>
      <c r="H631" s="6">
        <v>78</v>
      </c>
      <c r="I631">
        <v>3.8</v>
      </c>
      <c r="J631" s="1">
        <v>3390</v>
      </c>
    </row>
    <row r="632" spans="1:10">
      <c r="A632" t="s">
        <v>1313</v>
      </c>
      <c r="B632" t="s">
        <v>1314</v>
      </c>
      <c r="C632" t="str">
        <f>LEFT(B632,FIND(" ",B632)-1)</f>
        <v>Boult</v>
      </c>
      <c r="D632" t="str">
        <f>TRIM(RIGHT(E632,LEN(E632)-FIND("@",SUBSTITUTE(E632,"|","@",LEN(E632)-LEN(SUBSTITUTE(E632,"|",""))))))</f>
        <v>In-Ear</v>
      </c>
      <c r="E632" t="s">
        <v>747</v>
      </c>
      <c r="F632">
        <v>899</v>
      </c>
      <c r="G632" s="1">
        <v>4499</v>
      </c>
      <c r="H632" s="6">
        <v>8</v>
      </c>
      <c r="I632">
        <v>3.8</v>
      </c>
      <c r="J632" t="s">
        <v>1315</v>
      </c>
    </row>
    <row r="633" spans="1:10">
      <c r="A633" t="s">
        <v>1316</v>
      </c>
      <c r="B633" t="s">
        <v>1317</v>
      </c>
      <c r="C633" t="str">
        <f>LEFT(B633,FIND(" ",B633)-1)</f>
        <v>Casio</v>
      </c>
      <c r="D633" t="str">
        <f>TRIM(RIGHT(E633,LEN(E633)-FIND("@",SUBSTITUTE(E633,"|","@",LEN(E633)-LEN(SUBSTITUTE(E633,"|",""))))))</f>
        <v>Scientific</v>
      </c>
      <c r="E633" t="s">
        <v>1272</v>
      </c>
      <c r="F633">
        <v>522</v>
      </c>
      <c r="G633">
        <v>550</v>
      </c>
      <c r="H633" s="6">
        <v>5</v>
      </c>
      <c r="I633">
        <v>4.4000000000000004</v>
      </c>
      <c r="J633" s="1">
        <v>12179</v>
      </c>
    </row>
    <row r="634" spans="1:10">
      <c r="A634" t="s">
        <v>1318</v>
      </c>
      <c r="B634" t="s">
        <v>1319</v>
      </c>
      <c r="C634" t="str">
        <f>LEFT(B634,FIND(" ",B634)-1)</f>
        <v>Tygot</v>
      </c>
      <c r="D634" t="str">
        <f>TRIM(RIGHT(E634,LEN(E634)-FIND("@",SUBSTITUTE(E634,"|","@",LEN(E634)-LEN(SUBSTITUTE(E634,"|",""))))))</f>
        <v>Macro&amp;RinglightFlashes</v>
      </c>
      <c r="E634" t="s">
        <v>1320</v>
      </c>
      <c r="F634">
        <v>799</v>
      </c>
      <c r="G634" s="1">
        <v>1999</v>
      </c>
      <c r="H634" s="6">
        <v>6</v>
      </c>
      <c r="I634">
        <v>3.8</v>
      </c>
      <c r="J634" s="1">
        <v>12958</v>
      </c>
    </row>
    <row r="635" spans="1:10">
      <c r="A635" t="s">
        <v>1321</v>
      </c>
      <c r="B635" t="s">
        <v>1322</v>
      </c>
      <c r="C635" t="str">
        <f>LEFT(B635,FIND(" ",B635)-1)</f>
        <v>HP</v>
      </c>
      <c r="D635" t="str">
        <f>TRIM(RIGHT(E635,LEN(E635)-FIND("@",SUBSTITUTE(E635,"|","@",LEN(E635)-LEN(SUBSTITUTE(E635,"|",""))))))</f>
        <v>Mice</v>
      </c>
      <c r="E635" t="s">
        <v>1192</v>
      </c>
      <c r="F635">
        <v>681</v>
      </c>
      <c r="G635" s="1">
        <v>1199</v>
      </c>
      <c r="H635" s="6">
        <v>43</v>
      </c>
      <c r="I635">
        <v>4.2</v>
      </c>
      <c r="J635" s="1">
        <v>8258</v>
      </c>
    </row>
    <row r="636" spans="1:10">
      <c r="A636" t="s">
        <v>1323</v>
      </c>
      <c r="B636" t="s">
        <v>1324</v>
      </c>
      <c r="C636" t="str">
        <f>LEFT(B636,FIND(" ",B636)-1)</f>
        <v>Oakter</v>
      </c>
      <c r="D636" t="str">
        <f>TRIM(RIGHT(E636,LEN(E636)-FIND("@",SUBSTITUTE(E636,"|","@",LEN(E636)-LEN(SUBSTITUTE(E636,"|",""))))))</f>
        <v>NetworkingDevices</v>
      </c>
      <c r="E636" t="s">
        <v>1325</v>
      </c>
      <c r="F636" s="1">
        <v>1199</v>
      </c>
      <c r="G636" s="1">
        <v>3490</v>
      </c>
      <c r="H636" s="6">
        <v>66</v>
      </c>
      <c r="I636">
        <v>4.0999999999999996</v>
      </c>
      <c r="J636" s="1">
        <v>11716</v>
      </c>
    </row>
    <row r="637" spans="1:10">
      <c r="A637" t="s">
        <v>1326</v>
      </c>
      <c r="B637" t="s">
        <v>1327</v>
      </c>
      <c r="C637" t="str">
        <f>LEFT(B637,FIND(" ",B637)-1)</f>
        <v>TP-Link</v>
      </c>
      <c r="D637" t="str">
        <f>TRIM(RIGHT(E637,LEN(E637)-FIND("@",SUBSTITUTE(E637,"|","@",LEN(E637)-LEN(SUBSTITUTE(E637,"|",""))))))</f>
        <v>Routers</v>
      </c>
      <c r="E637" t="s">
        <v>1328</v>
      </c>
      <c r="F637" s="1">
        <v>2499</v>
      </c>
      <c r="G637" s="1">
        <v>4999</v>
      </c>
      <c r="H637" s="6">
        <v>5</v>
      </c>
      <c r="I637">
        <v>4.4000000000000004</v>
      </c>
      <c r="J637" s="1">
        <v>35024</v>
      </c>
    </row>
    <row r="638" spans="1:10">
      <c r="A638" t="s">
        <v>1329</v>
      </c>
      <c r="B638" t="s">
        <v>1330</v>
      </c>
      <c r="C638" t="str">
        <f>LEFT(B638,FIND(" ",B638)-1)</f>
        <v>boAt</v>
      </c>
      <c r="D638" t="str">
        <f>TRIM(RIGHT(E638,LEN(E638)-FIND("@",SUBSTITUTE(E638,"|","@",LEN(E638)-LEN(SUBSTITUTE(E638,"|",""))))))</f>
        <v>Over-Ear</v>
      </c>
      <c r="E638" t="s">
        <v>1331</v>
      </c>
      <c r="F638" s="1">
        <v>1799</v>
      </c>
      <c r="G638" s="1">
        <v>4999</v>
      </c>
      <c r="H638" s="6">
        <v>64</v>
      </c>
      <c r="I638">
        <v>4.0999999999999996</v>
      </c>
      <c r="J638" s="1">
        <v>55192</v>
      </c>
    </row>
    <row r="639" spans="1:10">
      <c r="A639" t="s">
        <v>1332</v>
      </c>
      <c r="B639" t="s">
        <v>1333</v>
      </c>
      <c r="C639" t="str">
        <f>LEFT(B639,FIND(" ",B639)-1)</f>
        <v>Xiaomi</v>
      </c>
      <c r="D639" t="str">
        <f>TRIM(RIGHT(E639,LEN(E639)-FIND("@",SUBSTITUTE(E639,"|","@",LEN(E639)-LEN(SUBSTITUTE(E639,"|",""))))))</f>
        <v>In-Ear</v>
      </c>
      <c r="E639" t="s">
        <v>747</v>
      </c>
      <c r="F639">
        <v>429</v>
      </c>
      <c r="G639">
        <v>599</v>
      </c>
      <c r="H639" s="6">
        <v>28</v>
      </c>
      <c r="I639">
        <v>4.0999999999999996</v>
      </c>
      <c r="J639" t="s">
        <v>1334</v>
      </c>
    </row>
    <row r="640" spans="1:10">
      <c r="A640" t="s">
        <v>1335</v>
      </c>
      <c r="B640" t="s">
        <v>1336</v>
      </c>
      <c r="C640" t="str">
        <f>LEFT(B640,FIND(" ",B640)-1)</f>
        <v>Zodo</v>
      </c>
      <c r="D640" t="str">
        <f>TRIM(RIGHT(E640,LEN(E640)-FIND("@",SUBSTITUTE(E640,"|","@",LEN(E640)-LEN(SUBSTITUTE(E640,"|",""))))))</f>
        <v>GraphicTablets</v>
      </c>
      <c r="E640" t="s">
        <v>1195</v>
      </c>
      <c r="F640">
        <v>100</v>
      </c>
      <c r="G640">
        <v>499</v>
      </c>
      <c r="H640" s="6">
        <v>8</v>
      </c>
      <c r="I640">
        <v>3.5</v>
      </c>
      <c r="J640" s="1">
        <v>9638</v>
      </c>
    </row>
    <row r="641" spans="1:10">
      <c r="A641" t="s">
        <v>1337</v>
      </c>
      <c r="B641" t="s">
        <v>1338</v>
      </c>
      <c r="C641" t="str">
        <f>LEFT(B641,FIND(" ",B641)-1)</f>
        <v>Zebronics</v>
      </c>
      <c r="D641" t="str">
        <f>TRIM(RIGHT(E641,LEN(E641)-FIND("@",SUBSTITUTE(E641,"|","@",LEN(E641)-LEN(SUBSTITUTE(E641,"|",""))))))</f>
        <v>Keyboards</v>
      </c>
      <c r="E641" t="s">
        <v>1228</v>
      </c>
      <c r="F641">
        <v>329</v>
      </c>
      <c r="G641">
        <v>399</v>
      </c>
      <c r="H641" s="6">
        <v>18</v>
      </c>
      <c r="I641">
        <v>3.6</v>
      </c>
      <c r="J641" s="1">
        <v>33735</v>
      </c>
    </row>
    <row r="642" spans="1:10">
      <c r="A642" t="s">
        <v>1339</v>
      </c>
      <c r="B642" t="s">
        <v>1340</v>
      </c>
      <c r="C642" t="str">
        <f>LEFT(B642,FIND(" ",B642)-1)</f>
        <v>ZEBRONICS</v>
      </c>
      <c r="D642" t="str">
        <f>TRIM(RIGHT(E642,LEN(E642)-FIND("@",SUBSTITUTE(E642,"|","@",LEN(E642)-LEN(SUBSTITUTE(E642,"|",""))))))</f>
        <v>Mice</v>
      </c>
      <c r="E642" t="s">
        <v>1192</v>
      </c>
      <c r="F642">
        <v>139</v>
      </c>
      <c r="G642">
        <v>299</v>
      </c>
      <c r="H642" s="6">
        <v>54</v>
      </c>
      <c r="I642">
        <v>3.8</v>
      </c>
      <c r="J642" s="1">
        <v>3044</v>
      </c>
    </row>
    <row r="643" spans="1:10">
      <c r="A643" t="s">
        <v>1341</v>
      </c>
      <c r="B643" t="s">
        <v>1342</v>
      </c>
      <c r="C643" t="str">
        <f>LEFT(B643,FIND(" ",B643)-1)</f>
        <v>boAt</v>
      </c>
      <c r="D643" t="str">
        <f>TRIM(RIGHT(E643,LEN(E643)-FIND("@",SUBSTITUTE(E643,"|","@",LEN(E643)-LEN(SUBSTITUTE(E643,"|",""))))))</f>
        <v>On-Ear</v>
      </c>
      <c r="E643" t="s">
        <v>1093</v>
      </c>
      <c r="F643" s="1">
        <v>1199</v>
      </c>
      <c r="G643" s="1">
        <v>2499</v>
      </c>
      <c r="H643" s="6">
        <v>52</v>
      </c>
      <c r="I643">
        <v>4</v>
      </c>
      <c r="J643" s="1">
        <v>33584</v>
      </c>
    </row>
    <row r="644" spans="1:10">
      <c r="A644" t="s">
        <v>1343</v>
      </c>
      <c r="B644" t="s">
        <v>1344</v>
      </c>
      <c r="C644" t="str">
        <f>LEFT(B644,FIND(" ",B644)-1)</f>
        <v>ZEBRONICS</v>
      </c>
      <c r="D644" t="str">
        <f>TRIM(RIGHT(E644,LEN(E644)-FIND("@",SUBSTITUTE(E644,"|","@",LEN(E644)-LEN(SUBSTITUTE(E644,"|",""))))))</f>
        <v>BluetoothSpeakers</v>
      </c>
      <c r="E644" t="s">
        <v>1345</v>
      </c>
      <c r="F644" s="1">
        <v>1049</v>
      </c>
      <c r="G644" s="1">
        <v>2299</v>
      </c>
      <c r="H644" s="6">
        <v>54</v>
      </c>
      <c r="I644">
        <v>3.9</v>
      </c>
      <c r="J644" s="1">
        <v>1779</v>
      </c>
    </row>
    <row r="645" spans="1:10">
      <c r="A645" t="s">
        <v>1346</v>
      </c>
      <c r="B645" t="s">
        <v>1347</v>
      </c>
      <c r="C645" t="str">
        <f>LEFT(B645,FIND(" ",B645)-1)</f>
        <v>Panasonic</v>
      </c>
      <c r="D645" t="str">
        <f>TRIM(RIGHT(E645,LEN(E645)-FIND("@",SUBSTITUTE(E645,"|","@",LEN(E645)-LEN(SUBSTITUTE(E645,"|",""))))))</f>
        <v>GeneralPurposeBatteries&amp;BatteryChargers</v>
      </c>
      <c r="E645" t="s">
        <v>1348</v>
      </c>
      <c r="F645">
        <v>225</v>
      </c>
      <c r="G645">
        <v>250</v>
      </c>
      <c r="H645" s="6">
        <v>1</v>
      </c>
      <c r="I645">
        <v>4.4000000000000004</v>
      </c>
      <c r="J645" s="1">
        <v>26556</v>
      </c>
    </row>
    <row r="646" spans="1:10">
      <c r="A646" t="s">
        <v>1349</v>
      </c>
      <c r="B646" t="s">
        <v>1350</v>
      </c>
      <c r="C646" t="str">
        <f>LEFT(B646,FIND(" ",B646)-1)</f>
        <v>MemeHoÂ®</v>
      </c>
      <c r="D646" t="str">
        <f>TRIM(RIGHT(E646,LEN(E646)-FIND("@",SUBSTITUTE(E646,"|","@",LEN(E646)-LEN(SUBSTITUTE(E646,"|",""))))))</f>
        <v>Lapdesks</v>
      </c>
      <c r="E646" t="s">
        <v>1201</v>
      </c>
      <c r="F646">
        <v>656</v>
      </c>
      <c r="G646" s="1">
        <v>1499</v>
      </c>
      <c r="H646" s="6">
        <v>56</v>
      </c>
      <c r="I646">
        <v>4.3</v>
      </c>
      <c r="J646" s="1">
        <v>25903</v>
      </c>
    </row>
    <row r="647" spans="1:10">
      <c r="A647" t="s">
        <v>1351</v>
      </c>
      <c r="B647" t="s">
        <v>1352</v>
      </c>
      <c r="C647" t="str">
        <f>LEFT(B647,FIND(" ",B647)-1)</f>
        <v>SanDisk</v>
      </c>
      <c r="D647" t="str">
        <f>TRIM(RIGHT(E647,LEN(E647)-FIND("@",SUBSTITUTE(E647,"|","@",LEN(E647)-LEN(SUBSTITUTE(E647,"|",""))))))</f>
        <v>PenDrives</v>
      </c>
      <c r="E647" t="s">
        <v>1188</v>
      </c>
      <c r="F647" s="1">
        <v>1109</v>
      </c>
      <c r="G647" s="1">
        <v>2800</v>
      </c>
      <c r="H647" s="6">
        <v>6</v>
      </c>
      <c r="I647">
        <v>4.3</v>
      </c>
      <c r="J647" s="1">
        <v>53464</v>
      </c>
    </row>
    <row r="648" spans="1:10">
      <c r="A648" t="s">
        <v>884</v>
      </c>
      <c r="B648" t="s">
        <v>885</v>
      </c>
      <c r="C648" t="str">
        <f>LEFT(B648,FIND(" ",B648)-1)</f>
        <v>boAt</v>
      </c>
      <c r="D648" t="str">
        <f>TRIM(RIGHT(E648,LEN(E648)-FIND("@",SUBSTITUTE(E648,"|","@",LEN(E648)-LEN(SUBSTITUTE(E648,"|",""))))))</f>
        <v>SmartWatches</v>
      </c>
      <c r="E648" t="s">
        <v>714</v>
      </c>
      <c r="F648" s="1">
        <v>2999</v>
      </c>
      <c r="G648" s="1">
        <v>7990</v>
      </c>
      <c r="H648" s="6">
        <v>62</v>
      </c>
      <c r="I648">
        <v>4.0999999999999996</v>
      </c>
      <c r="J648" s="1">
        <v>48448</v>
      </c>
    </row>
    <row r="649" spans="1:10">
      <c r="A649" t="s">
        <v>1353</v>
      </c>
      <c r="B649" t="s">
        <v>1354</v>
      </c>
      <c r="C649" t="str">
        <f>LEFT(B649,FIND(" ",B649)-1)</f>
        <v>Tizum</v>
      </c>
      <c r="D649" t="str">
        <f>TRIM(RIGHT(E649,LEN(E649)-FIND("@",SUBSTITUTE(E649,"|","@",LEN(E649)-LEN(SUBSTITUTE(E649,"|",""))))))</f>
        <v>MousePads</v>
      </c>
      <c r="E649" t="s">
        <v>1307</v>
      </c>
      <c r="F649">
        <v>169</v>
      </c>
      <c r="G649">
        <v>299</v>
      </c>
      <c r="H649" s="6">
        <v>43</v>
      </c>
      <c r="I649">
        <v>4.4000000000000004</v>
      </c>
      <c r="J649" s="1">
        <v>5176</v>
      </c>
    </row>
    <row r="650" spans="1:10">
      <c r="A650" t="s">
        <v>1355</v>
      </c>
      <c r="B650" t="s">
        <v>1356</v>
      </c>
      <c r="C650" t="str">
        <f>LEFT(B650,FIND(" ",B650)-1)</f>
        <v>Epson</v>
      </c>
      <c r="D650" t="str">
        <f>TRIM(RIGHT(E650,LEN(E650)-FIND("@",SUBSTITUTE(E650,"|","@",LEN(E650)-LEN(SUBSTITUTE(E650,"|",""))))))</f>
        <v>InkjetInkCartridges</v>
      </c>
      <c r="E650" t="s">
        <v>1285</v>
      </c>
      <c r="F650">
        <v>309</v>
      </c>
      <c r="G650">
        <v>404</v>
      </c>
      <c r="H650" s="6">
        <v>24</v>
      </c>
      <c r="I650">
        <v>4.4000000000000004</v>
      </c>
      <c r="J650" s="1">
        <v>8614</v>
      </c>
    </row>
    <row r="651" spans="1:10">
      <c r="A651" t="s">
        <v>1357</v>
      </c>
      <c r="B651" t="s">
        <v>1358</v>
      </c>
      <c r="C651" t="str">
        <f>LEFT(B651,FIND(" ",B651)-1)</f>
        <v>ZEBRONICS</v>
      </c>
      <c r="D651" t="str">
        <f>TRIM(RIGHT(E651,LEN(E651)-FIND("@",SUBSTITUTE(E651,"|","@",LEN(E651)-LEN(SUBSTITUTE(E651,"|",""))))))</f>
        <v>On-Ear</v>
      </c>
      <c r="E651" t="s">
        <v>1093</v>
      </c>
      <c r="F651">
        <v>599</v>
      </c>
      <c r="G651" s="1">
        <v>1399</v>
      </c>
      <c r="H651" s="6">
        <v>57</v>
      </c>
      <c r="I651">
        <v>3.8</v>
      </c>
      <c r="J651" s="1">
        <v>60026</v>
      </c>
    </row>
    <row r="652" spans="1:10">
      <c r="A652" t="s">
        <v>1359</v>
      </c>
      <c r="B652" t="s">
        <v>1360</v>
      </c>
      <c r="C652" t="str">
        <f>LEFT(B652,FIND(" ",B652)-1)</f>
        <v>Quantum</v>
      </c>
      <c r="D652" t="str">
        <f>TRIM(RIGHT(E652,LEN(E652)-FIND("@",SUBSTITUTE(E652,"|","@",LEN(E652)-LEN(SUBSTITUTE(E652,"|",""))))))</f>
        <v>Keyboards</v>
      </c>
      <c r="E652" t="s">
        <v>1228</v>
      </c>
      <c r="F652">
        <v>299</v>
      </c>
      <c r="G652">
        <v>599</v>
      </c>
      <c r="H652" s="6">
        <v>5</v>
      </c>
      <c r="I652">
        <v>3.8</v>
      </c>
      <c r="J652" s="1">
        <v>3066</v>
      </c>
    </row>
    <row r="653" spans="1:10">
      <c r="A653" t="s">
        <v>1361</v>
      </c>
      <c r="B653" t="s">
        <v>1362</v>
      </c>
      <c r="C653" t="str">
        <f>LEFT(B653,FIND(" ",B653)-1)</f>
        <v>STRIFF</v>
      </c>
      <c r="D653" t="str">
        <f>TRIM(RIGHT(E653,LEN(E653)-FIND("@",SUBSTITUTE(E653,"|","@",LEN(E653)-LEN(SUBSTITUTE(E653,"|",""))))))</f>
        <v>Lapdesks</v>
      </c>
      <c r="E653" t="s">
        <v>1201</v>
      </c>
      <c r="F653">
        <v>449</v>
      </c>
      <c r="G653">
        <v>999</v>
      </c>
      <c r="H653" s="6">
        <v>55</v>
      </c>
      <c r="I653">
        <v>4</v>
      </c>
      <c r="J653" s="1">
        <v>2102</v>
      </c>
    </row>
    <row r="654" spans="1:10">
      <c r="A654" t="s">
        <v>1363</v>
      </c>
      <c r="B654" t="s">
        <v>1364</v>
      </c>
      <c r="C654" t="str">
        <f>LEFT(B654,FIND(" ",B654)-1)</f>
        <v>Logitech</v>
      </c>
      <c r="D654" t="str">
        <f>TRIM(RIGHT(E654,LEN(E654)-FIND("@",SUBSTITUTE(E654,"|","@",LEN(E654)-LEN(SUBSTITUTE(E654,"|",""))))))</f>
        <v>Mice</v>
      </c>
      <c r="E654" t="s">
        <v>1192</v>
      </c>
      <c r="F654">
        <v>799</v>
      </c>
      <c r="G654" s="1">
        <v>1295</v>
      </c>
      <c r="H654" s="6">
        <v>38</v>
      </c>
      <c r="I654">
        <v>4.4000000000000004</v>
      </c>
      <c r="J654" s="1">
        <v>34852</v>
      </c>
    </row>
    <row r="655" spans="1:10">
      <c r="A655" t="s">
        <v>48</v>
      </c>
      <c r="B655" t="s">
        <v>49</v>
      </c>
      <c r="C655" t="str">
        <f>LEFT(B655,FIND(" ",B655)-1)</f>
        <v>AmazonBasics</v>
      </c>
      <c r="D655" t="str">
        <f>TRIM(RIGHT(E655,LEN(E655)-FIND("@",SUBSTITUTE(E655,"|","@",LEN(E655)-LEN(SUBSTITUTE(E655,"|",""))))))</f>
        <v>HDMICables</v>
      </c>
      <c r="E655" t="s">
        <v>50</v>
      </c>
      <c r="F655">
        <v>219</v>
      </c>
      <c r="G655">
        <v>700</v>
      </c>
      <c r="H655" s="6">
        <v>69</v>
      </c>
      <c r="I655">
        <v>4.4000000000000004</v>
      </c>
      <c r="J655" t="s">
        <v>1365</v>
      </c>
    </row>
    <row r="656" spans="1:10">
      <c r="A656" t="s">
        <v>1366</v>
      </c>
      <c r="B656" t="s">
        <v>1367</v>
      </c>
      <c r="C656" t="str">
        <f>LEFT(B656,FIND(" ",B656)-1)</f>
        <v>Classmate</v>
      </c>
      <c r="D656" t="str">
        <f>TRIM(RIGHT(E656,LEN(E656)-FIND("@",SUBSTITUTE(E656,"|","@",LEN(E656)-LEN(SUBSTITUTE(E656,"|",""))))))</f>
        <v>WireboundNotebooks</v>
      </c>
      <c r="E656" t="s">
        <v>1368</v>
      </c>
      <c r="F656">
        <v>157</v>
      </c>
      <c r="G656">
        <v>160</v>
      </c>
      <c r="H656" s="6">
        <v>2</v>
      </c>
      <c r="I656">
        <v>4.5</v>
      </c>
      <c r="J656" s="1">
        <v>8618</v>
      </c>
    </row>
    <row r="657" spans="1:10">
      <c r="A657" t="s">
        <v>1369</v>
      </c>
      <c r="B657" t="s">
        <v>1370</v>
      </c>
      <c r="C657" t="str">
        <f>LEFT(B657,FIND(" ",B657)-1)</f>
        <v>HP</v>
      </c>
      <c r="D657" t="str">
        <f>TRIM(RIGHT(E657,LEN(E657)-FIND("@",SUBSTITUTE(E657,"|","@",LEN(E657)-LEN(SUBSTITUTE(E657,"|",""))))))</f>
        <v>Mice</v>
      </c>
      <c r="E657" t="s">
        <v>1192</v>
      </c>
      <c r="F657">
        <v>599</v>
      </c>
      <c r="G657">
        <v>899</v>
      </c>
      <c r="H657" s="6">
        <v>33</v>
      </c>
      <c r="I657">
        <v>4</v>
      </c>
      <c r="J657" s="1">
        <v>4018</v>
      </c>
    </row>
    <row r="658" spans="1:10">
      <c r="A658" t="s">
        <v>1371</v>
      </c>
      <c r="B658" t="s">
        <v>1372</v>
      </c>
      <c r="C658" t="str">
        <f>LEFT(B658,FIND(" ",B658)-1)</f>
        <v>Duracell</v>
      </c>
      <c r="D658" t="str">
        <f>TRIM(RIGHT(E658,LEN(E658)-FIND("@",SUBSTITUTE(E658,"|","@",LEN(E658)-LEN(SUBSTITUTE(E658,"|",""))))))</f>
        <v>RechargeableBatteries</v>
      </c>
      <c r="E658" t="s">
        <v>1373</v>
      </c>
      <c r="F658">
        <v>479</v>
      </c>
      <c r="G658">
        <v>599</v>
      </c>
      <c r="H658" s="6">
        <v>2</v>
      </c>
      <c r="I658">
        <v>4.3</v>
      </c>
      <c r="J658" s="1">
        <v>11687</v>
      </c>
    </row>
    <row r="659" spans="1:10">
      <c r="A659" t="s">
        <v>1374</v>
      </c>
      <c r="B659" t="s">
        <v>1375</v>
      </c>
      <c r="C659" t="str">
        <f>LEFT(B659,FIND(" ",B659)-1)</f>
        <v>boAt</v>
      </c>
      <c r="D659" t="str">
        <f>TRIM(RIGHT(E659,LEN(E659)-FIND("@",SUBSTITUTE(E659,"|","@",LEN(E659)-LEN(SUBSTITUTE(E659,"|",""))))))</f>
        <v>In-Ear</v>
      </c>
      <c r="E659" t="s">
        <v>747</v>
      </c>
      <c r="F659" s="1">
        <v>1598</v>
      </c>
      <c r="G659" s="1">
        <v>2990</v>
      </c>
      <c r="H659" s="6">
        <v>47</v>
      </c>
      <c r="I659">
        <v>3.8</v>
      </c>
      <c r="J659" s="1">
        <v>11015</v>
      </c>
    </row>
    <row r="660" spans="1:10">
      <c r="A660" t="s">
        <v>1376</v>
      </c>
      <c r="B660" t="s">
        <v>1377</v>
      </c>
      <c r="C660" t="str">
        <f>LEFT(B660,FIND(" ",B660)-1)</f>
        <v>TP-Link</v>
      </c>
      <c r="D660" t="str">
        <f>TRIM(RIGHT(E660,LEN(E660)-FIND("@",SUBSTITUTE(E660,"|","@",LEN(E660)-LEN(SUBSTITUTE(E660,"|",""))))))</f>
        <v>BluetoothAdapters</v>
      </c>
      <c r="E660" t="s">
        <v>1378</v>
      </c>
      <c r="F660">
        <v>599</v>
      </c>
      <c r="G660">
        <v>899</v>
      </c>
      <c r="H660" s="6">
        <v>33</v>
      </c>
      <c r="I660">
        <v>4.3</v>
      </c>
      <c r="J660" s="1">
        <v>95116</v>
      </c>
    </row>
    <row r="661" spans="1:10">
      <c r="A661" t="s">
        <v>1379</v>
      </c>
      <c r="B661" t="s">
        <v>1380</v>
      </c>
      <c r="C661" t="str">
        <f>LEFT(B661,FIND(" ",B661)-1)</f>
        <v>SanDisk</v>
      </c>
      <c r="D661" t="str">
        <f>TRIM(RIGHT(E661,LEN(E661)-FIND("@",SUBSTITUTE(E661,"|","@",LEN(E661)-LEN(SUBSTITUTE(E661,"|",""))))))</f>
        <v>PenDrives</v>
      </c>
      <c r="E661" t="s">
        <v>1188</v>
      </c>
      <c r="F661" s="1">
        <v>1299</v>
      </c>
      <c r="G661" s="1">
        <v>3000</v>
      </c>
      <c r="H661" s="6">
        <v>57</v>
      </c>
      <c r="I661">
        <v>4.3</v>
      </c>
      <c r="J661" s="1">
        <v>23022</v>
      </c>
    </row>
    <row r="662" spans="1:10">
      <c r="A662" t="s">
        <v>934</v>
      </c>
      <c r="B662" t="s">
        <v>935</v>
      </c>
      <c r="C662" t="str">
        <f>LEFT(B662,FIND(" ",B662)-1)</f>
        <v>Noise</v>
      </c>
      <c r="D662" t="str">
        <f>TRIM(RIGHT(E662,LEN(E662)-FIND("@",SUBSTITUTE(E662,"|","@",LEN(E662)-LEN(SUBSTITUTE(E662,"|",""))))))</f>
        <v>SmartWatches</v>
      </c>
      <c r="E662" t="s">
        <v>714</v>
      </c>
      <c r="F662" s="1">
        <v>1599</v>
      </c>
      <c r="G662" s="1">
        <v>4999</v>
      </c>
      <c r="H662" s="6">
        <v>68</v>
      </c>
      <c r="I662">
        <v>4</v>
      </c>
      <c r="J662" s="1">
        <v>67951</v>
      </c>
    </row>
    <row r="663" spans="1:10">
      <c r="A663" t="s">
        <v>1381</v>
      </c>
      <c r="B663" t="s">
        <v>1382</v>
      </c>
      <c r="C663" t="str">
        <f>LEFT(B663,FIND(" ",B663)-1)</f>
        <v>rts</v>
      </c>
      <c r="D663" t="str">
        <f>TRIM(RIGHT(E663,LEN(E663)-FIND("@",SUBSTITUTE(E663,"|","@",LEN(E663)-LEN(SUBSTITUTE(E663,"|",""))))))</f>
        <v>USBtoUSBAdapters</v>
      </c>
      <c r="E663" t="s">
        <v>1383</v>
      </c>
      <c r="F663">
        <v>294</v>
      </c>
      <c r="G663" s="1">
        <v>4999</v>
      </c>
      <c r="H663" s="6">
        <v>94</v>
      </c>
      <c r="I663">
        <v>4.3</v>
      </c>
      <c r="J663" s="1">
        <v>4426</v>
      </c>
    </row>
    <row r="664" spans="1:10">
      <c r="A664" t="s">
        <v>1384</v>
      </c>
      <c r="B664" t="s">
        <v>1385</v>
      </c>
      <c r="C664" t="str">
        <f>LEFT(B664,FIND(" ",B664)-1)</f>
        <v>HP</v>
      </c>
      <c r="D664" t="str">
        <f>TRIM(RIGHT(E664,LEN(E664)-FIND("@",SUBSTITUTE(E664,"|","@",LEN(E664)-LEN(SUBSTITUTE(E664,"|",""))))))</f>
        <v>InkjetInkCartridges</v>
      </c>
      <c r="E664" t="s">
        <v>1285</v>
      </c>
      <c r="F664">
        <v>828</v>
      </c>
      <c r="G664">
        <v>861</v>
      </c>
      <c r="H664" s="6">
        <v>4</v>
      </c>
      <c r="I664">
        <v>4.2</v>
      </c>
      <c r="J664" s="1">
        <v>4567</v>
      </c>
    </row>
    <row r="665" spans="1:10">
      <c r="A665" t="s">
        <v>1386</v>
      </c>
      <c r="B665" t="s">
        <v>1387</v>
      </c>
      <c r="C665" t="str">
        <f>LEFT(B665,FIND(" ",B665)-1)</f>
        <v>Logitech</v>
      </c>
      <c r="D665" t="str">
        <f>TRIM(RIGHT(E665,LEN(E665)-FIND("@",SUBSTITUTE(E665,"|","@",LEN(E665)-LEN(SUBSTITUTE(E665,"|",""))))))</f>
        <v>On-Ear</v>
      </c>
      <c r="E665" t="s">
        <v>1093</v>
      </c>
      <c r="F665">
        <v>745</v>
      </c>
      <c r="G665">
        <v>795</v>
      </c>
      <c r="H665" s="6">
        <v>6</v>
      </c>
      <c r="I665">
        <v>4</v>
      </c>
      <c r="J665" s="1">
        <v>13797</v>
      </c>
    </row>
    <row r="666" spans="1:10">
      <c r="A666" t="s">
        <v>1388</v>
      </c>
      <c r="B666" t="s">
        <v>1389</v>
      </c>
      <c r="C666" t="str">
        <f>LEFT(B666,FIND(" ",B666)-1)</f>
        <v>Digitek</v>
      </c>
      <c r="D666" t="str">
        <f>TRIM(RIGHT(E666,LEN(E666)-FIND("@",SUBSTITUTE(E666,"|","@",LEN(E666)-LEN(SUBSTITUTE(E666,"|",""))))))</f>
        <v>CompleteTripodUnits</v>
      </c>
      <c r="E666" t="s">
        <v>1390</v>
      </c>
      <c r="F666" s="1">
        <v>1549</v>
      </c>
      <c r="G666" s="1">
        <v>2495</v>
      </c>
      <c r="H666" s="6">
        <v>38</v>
      </c>
      <c r="I666">
        <v>4.4000000000000004</v>
      </c>
      <c r="J666" s="1">
        <v>15137</v>
      </c>
    </row>
    <row r="667" spans="1:10">
      <c r="A667" t="s">
        <v>1391</v>
      </c>
      <c r="B667" t="s">
        <v>1392</v>
      </c>
      <c r="C667" t="str">
        <f>LEFT(B667,FIND(" ",B667)-1)</f>
        <v>TP-Link</v>
      </c>
      <c r="D667" t="str">
        <f>TRIM(RIGHT(E667,LEN(E667)-FIND("@",SUBSTITUTE(E667,"|","@",LEN(E667)-LEN(SUBSTITUTE(E667,"|",""))))))</f>
        <v>Repeaters&amp;Extenders</v>
      </c>
      <c r="E667" t="s">
        <v>1275</v>
      </c>
      <c r="F667" s="1">
        <v>1469</v>
      </c>
      <c r="G667" s="1">
        <v>2499</v>
      </c>
      <c r="H667" s="6">
        <v>41</v>
      </c>
      <c r="I667">
        <v>4.2</v>
      </c>
      <c r="J667" t="s">
        <v>1393</v>
      </c>
    </row>
    <row r="668" spans="1:10">
      <c r="A668" t="s">
        <v>1394</v>
      </c>
      <c r="B668" t="s">
        <v>1395</v>
      </c>
      <c r="C668" t="str">
        <f>LEFT(B668,FIND(" ",B668)-1)</f>
        <v>COI</v>
      </c>
      <c r="D668" t="str">
        <f>TRIM(RIGHT(E668,LEN(E668)-FIND("@",SUBSTITUTE(E668,"|","@",LEN(E668)-LEN(SUBSTITUTE(E668,"|",""))))))</f>
        <v>Notepads&amp;MemoBooks</v>
      </c>
      <c r="E668" t="s">
        <v>1396</v>
      </c>
      <c r="F668">
        <v>198</v>
      </c>
      <c r="G668">
        <v>800</v>
      </c>
      <c r="H668" s="6">
        <v>75</v>
      </c>
      <c r="I668">
        <v>4.0999999999999996</v>
      </c>
      <c r="J668" s="1">
        <v>9344</v>
      </c>
    </row>
    <row r="669" spans="1:10">
      <c r="A669" t="s">
        <v>1397</v>
      </c>
      <c r="B669" t="s">
        <v>1398</v>
      </c>
      <c r="C669" t="str">
        <f>LEFT(B669,FIND(" ",B669)-1)</f>
        <v>Fujifilm</v>
      </c>
      <c r="D669" t="str">
        <f>TRIM(RIGHT(E669,LEN(E669)-FIND("@",SUBSTITUTE(E669,"|","@",LEN(E669)-LEN(SUBSTITUTE(E669,"|",""))))))</f>
        <v>Film</v>
      </c>
      <c r="E669" t="s">
        <v>1399</v>
      </c>
      <c r="F669">
        <v>549</v>
      </c>
      <c r="G669">
        <v>549</v>
      </c>
      <c r="H669" s="6">
        <v>0</v>
      </c>
      <c r="I669">
        <v>4.5</v>
      </c>
      <c r="J669" s="1">
        <v>4875</v>
      </c>
    </row>
    <row r="670" spans="1:10">
      <c r="A670" t="s">
        <v>977</v>
      </c>
      <c r="B670" t="s">
        <v>978</v>
      </c>
      <c r="C670" t="str">
        <f>LEFT(B670,FIND(" ",B670)-1)</f>
        <v>Fire-Boltt</v>
      </c>
      <c r="D670" t="str">
        <f>TRIM(RIGHT(E670,LEN(E670)-FIND("@",SUBSTITUTE(E670,"|","@",LEN(E670)-LEN(SUBSTITUTE(E670,"|",""))))))</f>
        <v>SmartWatches</v>
      </c>
      <c r="E670" t="s">
        <v>714</v>
      </c>
      <c r="F670" s="1">
        <v>2999</v>
      </c>
      <c r="G670" s="1">
        <v>9999</v>
      </c>
      <c r="H670" s="6">
        <v>7</v>
      </c>
      <c r="I670">
        <v>4.2</v>
      </c>
      <c r="J670" s="1">
        <v>20881</v>
      </c>
    </row>
    <row r="671" spans="1:10">
      <c r="A671" t="s">
        <v>1400</v>
      </c>
      <c r="B671" t="s">
        <v>1401</v>
      </c>
      <c r="C671" t="str">
        <f>LEFT(B671,FIND(" ",B671)-1)</f>
        <v>Samsung</v>
      </c>
      <c r="D671" t="str">
        <f>TRIM(RIGHT(E671,LEN(E671)-FIND("@",SUBSTITUTE(E671,"|","@",LEN(E671)-LEN(SUBSTITUTE(E671,"|",""))))))</f>
        <v>SmartWatches</v>
      </c>
      <c r="E671" t="s">
        <v>714</v>
      </c>
      <c r="F671" s="1">
        <v>12000</v>
      </c>
      <c r="G671" s="1">
        <v>29999</v>
      </c>
      <c r="H671" s="6">
        <v>6</v>
      </c>
      <c r="I671">
        <v>4.3</v>
      </c>
      <c r="J671" s="1">
        <v>4744</v>
      </c>
    </row>
    <row r="672" spans="1:10">
      <c r="A672" t="s">
        <v>1402</v>
      </c>
      <c r="B672" t="s">
        <v>1403</v>
      </c>
      <c r="C672" t="str">
        <f>LEFT(B672,FIND(" ",B672)-1)</f>
        <v>Noise</v>
      </c>
      <c r="D672" t="str">
        <f>TRIM(RIGHT(E672,LEN(E672)-FIND("@",SUBSTITUTE(E672,"|","@",LEN(E672)-LEN(SUBSTITUTE(E672,"|",""))))))</f>
        <v>In-Ear</v>
      </c>
      <c r="E672" t="s">
        <v>747</v>
      </c>
      <c r="F672" s="1">
        <v>1299</v>
      </c>
      <c r="G672" s="1">
        <v>3499</v>
      </c>
      <c r="H672" s="6">
        <v>63</v>
      </c>
      <c r="I672">
        <v>3.9</v>
      </c>
      <c r="J672" s="1">
        <v>12452</v>
      </c>
    </row>
    <row r="673" spans="1:10">
      <c r="A673" t="s">
        <v>1404</v>
      </c>
      <c r="B673" t="s">
        <v>1405</v>
      </c>
      <c r="C673" t="str">
        <f>LEFT(B673,FIND(" ",B673)-1)</f>
        <v>Duracell</v>
      </c>
      <c r="D673" t="str">
        <f>TRIM(RIGHT(E673,LEN(E673)-FIND("@",SUBSTITUTE(E673,"|","@",LEN(E673)-LEN(SUBSTITUTE(E673,"|",""))))))</f>
        <v>DisposableBatteries</v>
      </c>
      <c r="E673" t="s">
        <v>1236</v>
      </c>
      <c r="F673">
        <v>269</v>
      </c>
      <c r="G673">
        <v>315</v>
      </c>
      <c r="H673" s="6">
        <v>15</v>
      </c>
      <c r="I673">
        <v>4.5</v>
      </c>
      <c r="J673" s="1">
        <v>17810</v>
      </c>
    </row>
    <row r="674" spans="1:10">
      <c r="A674" t="s">
        <v>1406</v>
      </c>
      <c r="B674" t="s">
        <v>1407</v>
      </c>
      <c r="C674" t="str">
        <f>LEFT(B674,FIND(" ",B674)-1)</f>
        <v>JBL</v>
      </c>
      <c r="D674" t="str">
        <f>TRIM(RIGHT(E674,LEN(E674)-FIND("@",SUBSTITUTE(E674,"|","@",LEN(E674)-LEN(SUBSTITUTE(E674,"|",""))))))</f>
        <v>In-Ear</v>
      </c>
      <c r="E674" t="s">
        <v>747</v>
      </c>
      <c r="F674">
        <v>799</v>
      </c>
      <c r="G674" s="1">
        <v>1499</v>
      </c>
      <c r="H674" s="6">
        <v>47</v>
      </c>
      <c r="I674">
        <v>4.0999999999999996</v>
      </c>
      <c r="J674" s="1">
        <v>53648</v>
      </c>
    </row>
    <row r="675" spans="1:10">
      <c r="A675" t="s">
        <v>1408</v>
      </c>
      <c r="B675" t="s">
        <v>1409</v>
      </c>
      <c r="C675" t="str">
        <f>LEFT(B675,FIND(" ",B675)-1)</f>
        <v>Acer</v>
      </c>
      <c r="D675" t="str">
        <f>TRIM(RIGHT(E675,LEN(E675)-FIND("@",SUBSTITUTE(E675,"|","@",LEN(E675)-LEN(SUBSTITUTE(E675,"|",""))))))</f>
        <v>Monitors</v>
      </c>
      <c r="E675" t="s">
        <v>1410</v>
      </c>
      <c r="F675" s="1">
        <v>6299</v>
      </c>
      <c r="G675" s="1">
        <v>13750</v>
      </c>
      <c r="H675" s="6">
        <v>54</v>
      </c>
      <c r="I675">
        <v>4.2</v>
      </c>
      <c r="J675" s="1">
        <v>2014</v>
      </c>
    </row>
    <row r="676" spans="1:10">
      <c r="A676" t="s">
        <v>1411</v>
      </c>
      <c r="B676" t="s">
        <v>1412</v>
      </c>
      <c r="C676" t="str">
        <f>LEFT(B676,FIND(" ",B676)-1)</f>
        <v>E-COSMOS</v>
      </c>
      <c r="D676" t="str">
        <f>TRIM(RIGHT(E676,LEN(E676)-FIND("@",SUBSTITUTE(E676,"|","@",LEN(E676)-LEN(SUBSTITUTE(E676,"|",""))))))</f>
        <v>Lamps</v>
      </c>
      <c r="E676" t="s">
        <v>1413</v>
      </c>
      <c r="F676">
        <v>59</v>
      </c>
      <c r="G676">
        <v>59</v>
      </c>
      <c r="H676" s="6">
        <v>0</v>
      </c>
      <c r="I676">
        <v>3.8</v>
      </c>
      <c r="J676" s="1">
        <v>5958</v>
      </c>
    </row>
    <row r="677" spans="1:10">
      <c r="A677" t="s">
        <v>1414</v>
      </c>
      <c r="B677" t="s">
        <v>1415</v>
      </c>
      <c r="C677" t="str">
        <f>LEFT(B677,FIND(" ",B677)-1)</f>
        <v>boAt</v>
      </c>
      <c r="D677" t="str">
        <f>TRIM(RIGHT(E677,LEN(E677)-FIND("@",SUBSTITUTE(E677,"|","@",LEN(E677)-LEN(SUBSTITUTE(E677,"|",""))))))</f>
        <v>AutomobileChargers</v>
      </c>
      <c r="E677" t="s">
        <v>757</v>
      </c>
      <c r="F677">
        <v>571</v>
      </c>
      <c r="G677">
        <v>999</v>
      </c>
      <c r="H677" s="6">
        <v>43</v>
      </c>
      <c r="I677">
        <v>4.3</v>
      </c>
      <c r="J677" s="1">
        <v>38221</v>
      </c>
    </row>
    <row r="678" spans="1:10">
      <c r="A678" t="s">
        <v>1416</v>
      </c>
      <c r="B678" t="s">
        <v>1417</v>
      </c>
      <c r="C678" t="str">
        <f>LEFT(B678,FIND(" ",B678)-1)</f>
        <v>Zebronics</v>
      </c>
      <c r="D678" t="str">
        <f>TRIM(RIGHT(E678,LEN(E678)-FIND("@",SUBSTITUTE(E678,"|","@",LEN(E678)-LEN(SUBSTITUTE(E678,"|",""))))))</f>
        <v>BluetoothSpeakers</v>
      </c>
      <c r="E678" t="s">
        <v>1345</v>
      </c>
      <c r="F678">
        <v>549</v>
      </c>
      <c r="G678">
        <v>999</v>
      </c>
      <c r="H678" s="6">
        <v>45</v>
      </c>
      <c r="I678">
        <v>3.9</v>
      </c>
      <c r="J678" s="1">
        <v>64705</v>
      </c>
    </row>
    <row r="679" spans="1:10">
      <c r="A679" t="s">
        <v>1418</v>
      </c>
      <c r="B679" t="s">
        <v>1419</v>
      </c>
      <c r="C679" t="str">
        <f>LEFT(B679,FIND(" ",B679)-1)</f>
        <v>Zebronics</v>
      </c>
      <c r="D679" t="str">
        <f>TRIM(RIGHT(E679,LEN(E679)-FIND("@",SUBSTITUTE(E679,"|","@",LEN(E679)-LEN(SUBSTITUTE(E679,"|",""))))))</f>
        <v>Keyboard&amp;MouseSets</v>
      </c>
      <c r="E679" t="s">
        <v>1249</v>
      </c>
      <c r="F679">
        <v>448</v>
      </c>
      <c r="G679">
        <v>699</v>
      </c>
      <c r="H679" s="6">
        <v>36</v>
      </c>
      <c r="I679">
        <v>3.9</v>
      </c>
      <c r="J679" s="1">
        <v>17348</v>
      </c>
    </row>
    <row r="680" spans="1:10">
      <c r="A680" t="s">
        <v>1420</v>
      </c>
      <c r="B680" t="s">
        <v>1421</v>
      </c>
      <c r="C680" t="str">
        <f>LEFT(B680,FIND(" ",B680)-1)</f>
        <v>JBL</v>
      </c>
      <c r="D680" t="str">
        <f>TRIM(RIGHT(E680,LEN(E680)-FIND("@",SUBSTITUTE(E680,"|","@",LEN(E680)-LEN(SUBSTITUTE(E680,"|",""))))))</f>
        <v>In-Ear</v>
      </c>
      <c r="E680" t="s">
        <v>747</v>
      </c>
      <c r="F680" s="1">
        <v>1499</v>
      </c>
      <c r="G680" s="1">
        <v>2999</v>
      </c>
      <c r="H680" s="6">
        <v>5</v>
      </c>
      <c r="I680">
        <v>3.7</v>
      </c>
      <c r="J680" s="1">
        <v>87798</v>
      </c>
    </row>
    <row r="681" spans="1:10">
      <c r="A681" t="s">
        <v>1422</v>
      </c>
      <c r="B681" t="s">
        <v>1423</v>
      </c>
      <c r="C681" t="str">
        <f>LEFT(B681,FIND(" ",B681)-1)</f>
        <v>Gizga</v>
      </c>
      <c r="D681" t="str">
        <f>TRIM(RIGHT(E681,LEN(E681)-FIND("@",SUBSTITUTE(E681,"|","@",LEN(E681)-LEN(SUBSTITUTE(E681,"|",""))))))</f>
        <v>CleaningKits</v>
      </c>
      <c r="E681" t="s">
        <v>1424</v>
      </c>
      <c r="F681">
        <v>299</v>
      </c>
      <c r="G681">
        <v>499</v>
      </c>
      <c r="H681" s="6">
        <v>4</v>
      </c>
      <c r="I681">
        <v>4.2</v>
      </c>
      <c r="J681" s="1">
        <v>24432</v>
      </c>
    </row>
    <row r="682" spans="1:10">
      <c r="A682" t="s">
        <v>1425</v>
      </c>
      <c r="B682" t="s">
        <v>1426</v>
      </c>
      <c r="C682" t="str">
        <f>LEFT(B682,FIND(" ",B682)-1)</f>
        <v>SanDisk</v>
      </c>
      <c r="D682" t="str">
        <f>TRIM(RIGHT(E682,LEN(E682)-FIND("@",SUBSTITUTE(E682,"|","@",LEN(E682)-LEN(SUBSTITUTE(E682,"|",""))))))</f>
        <v>PenDrives</v>
      </c>
      <c r="E682" t="s">
        <v>1188</v>
      </c>
      <c r="F682">
        <v>579</v>
      </c>
      <c r="G682" s="1">
        <v>1400</v>
      </c>
      <c r="H682" s="6">
        <v>59</v>
      </c>
      <c r="I682">
        <v>4.3</v>
      </c>
      <c r="J682" t="s">
        <v>1427</v>
      </c>
    </row>
    <row r="683" spans="1:10">
      <c r="A683" t="s">
        <v>1428</v>
      </c>
      <c r="B683" t="s">
        <v>1429</v>
      </c>
      <c r="C683" t="str">
        <f>LEFT(B683,FIND(" ",B683)-1)</f>
        <v>TP-Link</v>
      </c>
      <c r="D683" t="str">
        <f>TRIM(RIGHT(E683,LEN(E683)-FIND("@",SUBSTITUTE(E683,"|","@",LEN(E683)-LEN(SUBSTITUTE(E683,"|",""))))))</f>
        <v>DomeCameras</v>
      </c>
      <c r="E683" t="s">
        <v>1430</v>
      </c>
      <c r="F683" s="1">
        <v>2499</v>
      </c>
      <c r="G683" s="1">
        <v>3299</v>
      </c>
      <c r="H683" s="6">
        <v>24</v>
      </c>
      <c r="I683">
        <v>4.2</v>
      </c>
      <c r="J683" s="1">
        <v>93112</v>
      </c>
    </row>
    <row r="684" spans="1:10">
      <c r="A684" t="s">
        <v>1431</v>
      </c>
      <c r="B684" t="s">
        <v>1432</v>
      </c>
      <c r="C684" t="str">
        <f>LEFT(B684,FIND(" ",B684)-1)</f>
        <v>boAt</v>
      </c>
      <c r="D684" t="str">
        <f>TRIM(RIGHT(E684,LEN(E684)-FIND("@",SUBSTITUTE(E684,"|","@",LEN(E684)-LEN(SUBSTITUTE(E684,"|",""))))))</f>
        <v>In-Ear</v>
      </c>
      <c r="E684" t="s">
        <v>747</v>
      </c>
      <c r="F684" s="1">
        <v>1199</v>
      </c>
      <c r="G684" s="1">
        <v>5999</v>
      </c>
      <c r="H684" s="6">
        <v>8</v>
      </c>
      <c r="I684">
        <v>3.9</v>
      </c>
      <c r="J684" s="1">
        <v>47521</v>
      </c>
    </row>
    <row r="685" spans="1:10">
      <c r="A685" t="s">
        <v>1433</v>
      </c>
      <c r="B685" t="s">
        <v>1434</v>
      </c>
      <c r="C685" t="str">
        <f>LEFT(B685,FIND(" ",B685)-1)</f>
        <v>Duracell</v>
      </c>
      <c r="D685" t="str">
        <f>TRIM(RIGHT(E685,LEN(E685)-FIND("@",SUBSTITUTE(E685,"|","@",LEN(E685)-LEN(SUBSTITUTE(E685,"|",""))))))</f>
        <v>RechargeableBatteries</v>
      </c>
      <c r="E685" t="s">
        <v>1373</v>
      </c>
      <c r="F685">
        <v>399</v>
      </c>
      <c r="G685">
        <v>499</v>
      </c>
      <c r="H685" s="6">
        <v>2</v>
      </c>
      <c r="I685">
        <v>4.3</v>
      </c>
      <c r="J685" s="1">
        <v>27201</v>
      </c>
    </row>
    <row r="686" spans="1:10">
      <c r="A686" t="s">
        <v>1435</v>
      </c>
      <c r="B686" t="s">
        <v>1436</v>
      </c>
      <c r="C686" t="str">
        <f>LEFT(B686,FIND(" ",B686)-1)</f>
        <v>Logitech</v>
      </c>
      <c r="D686" t="str">
        <f>TRIM(RIGHT(E686,LEN(E686)-FIND("@",SUBSTITUTE(E686,"|","@",LEN(E686)-LEN(SUBSTITUTE(E686,"|",""))))))</f>
        <v>Mice</v>
      </c>
      <c r="E686" t="s">
        <v>1192</v>
      </c>
      <c r="F686">
        <v>279</v>
      </c>
      <c r="G686">
        <v>375</v>
      </c>
      <c r="H686" s="6">
        <v>26</v>
      </c>
      <c r="I686">
        <v>4.3</v>
      </c>
      <c r="J686" s="1">
        <v>31534</v>
      </c>
    </row>
    <row r="687" spans="1:10">
      <c r="A687" t="s">
        <v>1437</v>
      </c>
      <c r="B687" t="s">
        <v>1438</v>
      </c>
      <c r="C687" t="str">
        <f>LEFT(B687,FIND(" ",B687)-1)</f>
        <v>Noise</v>
      </c>
      <c r="D687" t="str">
        <f>TRIM(RIGHT(E687,LEN(E687)-FIND("@",SUBSTITUTE(E687,"|","@",LEN(E687)-LEN(SUBSTITUTE(E687,"|",""))))))</f>
        <v>SmartWatches</v>
      </c>
      <c r="E687" t="s">
        <v>714</v>
      </c>
      <c r="F687" s="1">
        <v>2499</v>
      </c>
      <c r="G687" s="1">
        <v>4999</v>
      </c>
      <c r="H687" s="6">
        <v>5</v>
      </c>
      <c r="I687">
        <v>3.9</v>
      </c>
      <c r="J687" s="1">
        <v>7571</v>
      </c>
    </row>
    <row r="688" spans="1:10">
      <c r="A688" t="s">
        <v>1439</v>
      </c>
      <c r="B688" t="s">
        <v>1440</v>
      </c>
      <c r="C688" t="str">
        <f>LEFT(B688,FIND(" ",B688)-1)</f>
        <v>Classmate</v>
      </c>
      <c r="D688" t="str">
        <f>TRIM(RIGHT(E688,LEN(E688)-FIND("@",SUBSTITUTE(E688,"|","@",LEN(E688)-LEN(SUBSTITUTE(E688,"|",""))))))</f>
        <v>WireboundNotebooks</v>
      </c>
      <c r="E688" t="s">
        <v>1368</v>
      </c>
      <c r="F688">
        <v>137</v>
      </c>
      <c r="G688">
        <v>160</v>
      </c>
      <c r="H688" s="6">
        <v>14</v>
      </c>
      <c r="I688">
        <v>4.4000000000000004</v>
      </c>
      <c r="J688" s="1">
        <v>6537</v>
      </c>
    </row>
    <row r="689" spans="1:10">
      <c r="A689" t="s">
        <v>1441</v>
      </c>
      <c r="B689" t="s">
        <v>1442</v>
      </c>
      <c r="C689" t="str">
        <f>LEFT(B689,FIND(" ",B689)-1)</f>
        <v>AirCase</v>
      </c>
      <c r="D689" t="str">
        <f>TRIM(RIGHT(E689,LEN(E689)-FIND("@",SUBSTITUTE(E689,"|","@",LEN(E689)-LEN(SUBSTITUTE(E689,"|",""))))))</f>
        <v>HardDiskBags</v>
      </c>
      <c r="E689" t="s">
        <v>1310</v>
      </c>
      <c r="F689">
        <v>299</v>
      </c>
      <c r="G689">
        <v>499</v>
      </c>
      <c r="H689" s="6">
        <v>4</v>
      </c>
      <c r="I689">
        <v>4.5</v>
      </c>
      <c r="J689" s="1">
        <v>21010</v>
      </c>
    </row>
    <row r="690" spans="1:10">
      <c r="A690" t="s">
        <v>1443</v>
      </c>
      <c r="B690" t="s">
        <v>1444</v>
      </c>
      <c r="C690" t="str">
        <f>LEFT(B690,FIND(" ",B690)-1)</f>
        <v>Noise</v>
      </c>
      <c r="D690" t="str">
        <f>TRIM(RIGHT(E690,LEN(E690)-FIND("@",SUBSTITUTE(E690,"|","@",LEN(E690)-LEN(SUBSTITUTE(E690,"|",""))))))</f>
        <v>In-Ear</v>
      </c>
      <c r="E690" t="s">
        <v>747</v>
      </c>
      <c r="F690" s="1">
        <v>1799</v>
      </c>
      <c r="G690" s="1">
        <v>3999</v>
      </c>
      <c r="H690" s="6">
        <v>55</v>
      </c>
      <c r="I690">
        <v>3.9</v>
      </c>
      <c r="J690" s="1">
        <v>3517</v>
      </c>
    </row>
    <row r="691" spans="1:10">
      <c r="A691" t="s">
        <v>1445</v>
      </c>
      <c r="B691" t="s">
        <v>1446</v>
      </c>
      <c r="C691" t="str">
        <f>LEFT(B691,FIND(" ",B691)-1)</f>
        <v>JBL</v>
      </c>
      <c r="D691" t="str">
        <f>TRIM(RIGHT(E691,LEN(E691)-FIND("@",SUBSTITUTE(E691,"|","@",LEN(E691)-LEN(SUBSTITUTE(E691,"|",""))))))</f>
        <v>BluetoothSpeakers</v>
      </c>
      <c r="E691" t="s">
        <v>1345</v>
      </c>
      <c r="F691" s="1">
        <v>1999</v>
      </c>
      <c r="G691" s="1">
        <v>2999</v>
      </c>
      <c r="H691" s="6">
        <v>33</v>
      </c>
      <c r="I691">
        <v>4.3</v>
      </c>
      <c r="J691" s="1">
        <v>63899</v>
      </c>
    </row>
    <row r="692" spans="1:10">
      <c r="A692" t="s">
        <v>1447</v>
      </c>
      <c r="B692" t="s">
        <v>1448</v>
      </c>
      <c r="C692" t="str">
        <f>LEFT(B692,FIND(" ",B692)-1)</f>
        <v>Robustrion</v>
      </c>
      <c r="D692" t="str">
        <f>TRIM(RIGHT(E692,LEN(E692)-FIND("@",SUBSTITUTE(E692,"|","@",LEN(E692)-LEN(SUBSTITUTE(E692,"|",""))))))</f>
        <v>ScreenProtectors</v>
      </c>
      <c r="E692" t="s">
        <v>1449</v>
      </c>
      <c r="F692">
        <v>399</v>
      </c>
      <c r="G692" s="1">
        <v>1499</v>
      </c>
      <c r="H692" s="6">
        <v>73</v>
      </c>
      <c r="I692">
        <v>4.0999999999999996</v>
      </c>
      <c r="J692" s="1">
        <v>5730</v>
      </c>
    </row>
    <row r="693" spans="1:10">
      <c r="A693" t="s">
        <v>1450</v>
      </c>
      <c r="B693" t="s">
        <v>1451</v>
      </c>
      <c r="C693" t="str">
        <f>LEFT(B693,FIND(" ",B693)-1)</f>
        <v>Redgear</v>
      </c>
      <c r="D693" t="str">
        <f>TRIM(RIGHT(E693,LEN(E693)-FIND("@",SUBSTITUTE(E693,"|","@",LEN(E693)-LEN(SUBSTITUTE(E693,"|",""))))))</f>
        <v>Gamepads</v>
      </c>
      <c r="E693" t="s">
        <v>1452</v>
      </c>
      <c r="F693" s="1">
        <v>1699</v>
      </c>
      <c r="G693" s="1">
        <v>3999</v>
      </c>
      <c r="H693" s="6">
        <v>58</v>
      </c>
      <c r="I693">
        <v>4.2</v>
      </c>
      <c r="J693" s="1">
        <v>25488</v>
      </c>
    </row>
    <row r="694" spans="1:10">
      <c r="A694" t="s">
        <v>1453</v>
      </c>
      <c r="B694" t="s">
        <v>1454</v>
      </c>
      <c r="C694" t="str">
        <f>LEFT(B694,FIND(" ",B694)-1)</f>
        <v>Logitech</v>
      </c>
      <c r="D694" t="str">
        <f>TRIM(RIGHT(E694,LEN(E694)-FIND("@",SUBSTITUTE(E694,"|","@",LEN(E694)-LEN(SUBSTITUTE(E694,"|",""))))))</f>
        <v>Mice</v>
      </c>
      <c r="E694" t="s">
        <v>1192</v>
      </c>
      <c r="F694">
        <v>699</v>
      </c>
      <c r="G694">
        <v>995</v>
      </c>
      <c r="H694" s="6">
        <v>3</v>
      </c>
      <c r="I694">
        <v>4.5</v>
      </c>
      <c r="J694" s="1">
        <v>54405</v>
      </c>
    </row>
    <row r="695" spans="1:10">
      <c r="A695" t="s">
        <v>1455</v>
      </c>
      <c r="B695" t="s">
        <v>1456</v>
      </c>
      <c r="C695" t="str">
        <f>LEFT(B695,FIND(" ",B695)-1)</f>
        <v>TP-link</v>
      </c>
      <c r="D695" t="str">
        <f>TRIM(RIGHT(E695,LEN(E695)-FIND("@",SUBSTITUTE(E695,"|","@",LEN(E695)-LEN(SUBSTITUTE(E695,"|",""))))))</f>
        <v>Routers</v>
      </c>
      <c r="E695" t="s">
        <v>1328</v>
      </c>
      <c r="F695" s="1">
        <v>1149</v>
      </c>
      <c r="G695" s="1">
        <v>1699</v>
      </c>
      <c r="H695" s="6">
        <v>32</v>
      </c>
      <c r="I695">
        <v>4.2</v>
      </c>
      <c r="J695" t="s">
        <v>1457</v>
      </c>
    </row>
    <row r="696" spans="1:10">
      <c r="A696" t="s">
        <v>1458</v>
      </c>
      <c r="B696" t="s">
        <v>1459</v>
      </c>
      <c r="C696" t="str">
        <f>LEFT(B696,FIND(" ",B696)-1)</f>
        <v>Logitech</v>
      </c>
      <c r="D696" t="str">
        <f>TRIM(RIGHT(E696,LEN(E696)-FIND("@",SUBSTITUTE(E696,"|","@",LEN(E696)-LEN(SUBSTITUTE(E696,"|",""))))))</f>
        <v>Keyboard&amp;MouseSets</v>
      </c>
      <c r="E696" t="s">
        <v>1249</v>
      </c>
      <c r="F696" s="1">
        <v>1495</v>
      </c>
      <c r="G696" s="1">
        <v>1995</v>
      </c>
      <c r="H696" s="6">
        <v>25</v>
      </c>
      <c r="I696">
        <v>4.3</v>
      </c>
      <c r="J696" s="1">
        <v>7241</v>
      </c>
    </row>
    <row r="697" spans="1:10">
      <c r="A697" t="s">
        <v>1460</v>
      </c>
      <c r="B697" t="s">
        <v>1461</v>
      </c>
      <c r="C697" t="str">
        <f>LEFT(B697,FIND(" ",B697)-1)</f>
        <v>Callas</v>
      </c>
      <c r="D697" t="str">
        <f>TRIM(RIGHT(E697,LEN(E697)-FIND("@",SUBSTITUTE(E697,"|","@",LEN(E697)-LEN(SUBSTITUTE(E697,"|",""))))))</f>
        <v>Lapdesks</v>
      </c>
      <c r="E697" t="s">
        <v>1201</v>
      </c>
      <c r="F697">
        <v>849</v>
      </c>
      <c r="G697" s="1">
        <v>4999</v>
      </c>
      <c r="H697" s="6">
        <v>83</v>
      </c>
      <c r="I697">
        <v>4</v>
      </c>
      <c r="J697" s="1">
        <v>20457</v>
      </c>
    </row>
    <row r="698" spans="1:10">
      <c r="A698" t="s">
        <v>1462</v>
      </c>
      <c r="B698" t="s">
        <v>1463</v>
      </c>
      <c r="C698" t="str">
        <f>LEFT(B698,FIND(" ",B698)-1)</f>
        <v>Casio</v>
      </c>
      <c r="D698" t="str">
        <f>TRIM(RIGHT(E698,LEN(E698)-FIND("@",SUBSTITUTE(E698,"|","@",LEN(E698)-LEN(SUBSTITUTE(E698,"|",""))))))</f>
        <v>Basic</v>
      </c>
      <c r="E698" t="s">
        <v>1464</v>
      </c>
      <c r="F698">
        <v>440</v>
      </c>
      <c r="G698">
        <v>440</v>
      </c>
      <c r="H698" s="6">
        <v>0</v>
      </c>
      <c r="I698">
        <v>4.5</v>
      </c>
      <c r="J698" s="1">
        <v>8610</v>
      </c>
    </row>
    <row r="699" spans="1:10">
      <c r="A699" t="s">
        <v>1465</v>
      </c>
      <c r="B699" t="s">
        <v>1466</v>
      </c>
      <c r="C699" t="str">
        <f>LEFT(B699,FIND(" ",B699)-1)</f>
        <v>Amazon</v>
      </c>
      <c r="D699" t="str">
        <f>TRIM(RIGHT(E699,LEN(E699)-FIND("@",SUBSTITUTE(E699,"|","@",LEN(E699)-LEN(SUBSTITUTE(E699,"|",""))))))</f>
        <v>Lapdesks</v>
      </c>
      <c r="E699" t="s">
        <v>1201</v>
      </c>
      <c r="F699">
        <v>599</v>
      </c>
      <c r="G699" s="1">
        <v>3999</v>
      </c>
      <c r="H699" s="6">
        <v>85</v>
      </c>
      <c r="I699">
        <v>3.9</v>
      </c>
      <c r="J699" s="1">
        <v>1087</v>
      </c>
    </row>
    <row r="700" spans="1:10">
      <c r="A700" t="s">
        <v>1467</v>
      </c>
      <c r="B700" t="s">
        <v>1468</v>
      </c>
      <c r="C700" t="str">
        <f>LEFT(B700,FIND(" ",B700)-1)</f>
        <v>Kanget</v>
      </c>
      <c r="D700" t="str">
        <f>TRIM(RIGHT(E700,LEN(E700)-FIND("@",SUBSTITUTE(E700,"|","@",LEN(E700)-LEN(SUBSTITUTE(E700,"|",""))))))</f>
        <v>USBtoUSBAdapters</v>
      </c>
      <c r="E700" t="s">
        <v>1383</v>
      </c>
      <c r="F700">
        <v>149</v>
      </c>
      <c r="G700">
        <v>399</v>
      </c>
      <c r="H700" s="6">
        <v>63</v>
      </c>
      <c r="I700">
        <v>4</v>
      </c>
      <c r="J700" s="1">
        <v>1540</v>
      </c>
    </row>
    <row r="701" spans="1:10">
      <c r="A701" t="s">
        <v>1469</v>
      </c>
      <c r="B701" t="s">
        <v>1470</v>
      </c>
      <c r="C701" t="str">
        <f>LEFT(B701,FIND(" ",B701)-1)</f>
        <v>Amazon</v>
      </c>
      <c r="D701" t="str">
        <f>TRIM(RIGHT(E701,LEN(E701)-FIND("@",SUBSTITUTE(E701,"|","@",LEN(E701)-LEN(SUBSTITUTE(E701,"|",""))))))</f>
        <v>GraphicTablets</v>
      </c>
      <c r="E701" t="s">
        <v>1195</v>
      </c>
      <c r="F701">
        <v>289</v>
      </c>
      <c r="G701">
        <v>999</v>
      </c>
      <c r="H701" s="6">
        <v>71</v>
      </c>
      <c r="I701">
        <v>4.0999999999999996</v>
      </c>
      <c r="J701">
        <v>401</v>
      </c>
    </row>
    <row r="702" spans="1:10">
      <c r="A702" t="s">
        <v>1471</v>
      </c>
      <c r="B702" t="s">
        <v>1472</v>
      </c>
      <c r="C702" t="str">
        <f>LEFT(B702,FIND(" ",B702)-1)</f>
        <v>Zebronics</v>
      </c>
      <c r="D702" t="str">
        <f>TRIM(RIGHT(E702,LEN(E702)-FIND("@",SUBSTITUTE(E702,"|","@",LEN(E702)-LEN(SUBSTITUTE(E702,"|",""))))))</f>
        <v>USBHubs</v>
      </c>
      <c r="E702" t="s">
        <v>1473</v>
      </c>
      <c r="F702">
        <v>179</v>
      </c>
      <c r="G702">
        <v>499</v>
      </c>
      <c r="H702" s="6">
        <v>64</v>
      </c>
      <c r="I702">
        <v>3.4</v>
      </c>
      <c r="J702" s="1">
        <v>9385</v>
      </c>
    </row>
    <row r="703" spans="1:10">
      <c r="A703" t="s">
        <v>1474</v>
      </c>
      <c r="B703" t="s">
        <v>1475</v>
      </c>
      <c r="C703" t="str">
        <f>LEFT(B703,FIND(" ",B703)-1)</f>
        <v>Noise</v>
      </c>
      <c r="D703" t="str">
        <f>TRIM(RIGHT(E703,LEN(E703)-FIND("@",SUBSTITUTE(E703,"|","@",LEN(E703)-LEN(SUBSTITUTE(E703,"|",""))))))</f>
        <v>SmartWatches</v>
      </c>
      <c r="E703" t="s">
        <v>714</v>
      </c>
      <c r="F703" s="1">
        <v>1499</v>
      </c>
      <c r="G703" s="1">
        <v>4999</v>
      </c>
      <c r="H703" s="6">
        <v>7</v>
      </c>
      <c r="I703">
        <v>4</v>
      </c>
      <c r="J703" s="1">
        <v>92588</v>
      </c>
    </row>
    <row r="704" spans="1:10">
      <c r="A704" t="s">
        <v>1476</v>
      </c>
      <c r="B704" t="s">
        <v>1477</v>
      </c>
      <c r="C704" t="str">
        <f>LEFT(B704,FIND(" ",B704)-1)</f>
        <v>Zebronics</v>
      </c>
      <c r="D704" t="str">
        <f>TRIM(RIGHT(E704,LEN(E704)-FIND("@",SUBSTITUTE(E704,"|","@",LEN(E704)-LEN(SUBSTITUTE(E704,"|",""))))))</f>
        <v>In-Ear</v>
      </c>
      <c r="E704" t="s">
        <v>747</v>
      </c>
      <c r="F704">
        <v>399</v>
      </c>
      <c r="G704">
        <v>699</v>
      </c>
      <c r="H704" s="6">
        <v>43</v>
      </c>
      <c r="I704">
        <v>3.4</v>
      </c>
      <c r="J704" s="1">
        <v>3454</v>
      </c>
    </row>
    <row r="705" spans="1:10">
      <c r="A705" t="s">
        <v>1478</v>
      </c>
      <c r="B705" t="s">
        <v>1479</v>
      </c>
      <c r="C705" t="str">
        <f>LEFT(B705,FIND(" ",B705)-1)</f>
        <v>Redgear</v>
      </c>
      <c r="D705" t="str">
        <f>TRIM(RIGHT(E705,LEN(E705)-FIND("@",SUBSTITUTE(E705,"|","@",LEN(E705)-LEN(SUBSTITUTE(E705,"|",""))))))</f>
        <v>GamingMice</v>
      </c>
      <c r="E705" t="s">
        <v>1301</v>
      </c>
      <c r="F705">
        <v>599</v>
      </c>
      <c r="G705">
        <v>799</v>
      </c>
      <c r="H705" s="6">
        <v>25</v>
      </c>
      <c r="I705">
        <v>4.3</v>
      </c>
      <c r="J705" s="1">
        <v>15790</v>
      </c>
    </row>
    <row r="706" spans="1:10">
      <c r="A706" t="s">
        <v>1480</v>
      </c>
      <c r="B706" t="s">
        <v>1481</v>
      </c>
      <c r="C706" t="str">
        <f>LEFT(B706,FIND(" ",B706)-1)</f>
        <v>JBL</v>
      </c>
      <c r="D706" t="str">
        <f>TRIM(RIGHT(E706,LEN(E706)-FIND("@",SUBSTITUTE(E706,"|","@",LEN(E706)-LEN(SUBSTITUTE(E706,"|",""))))))</f>
        <v>PCMicrophones</v>
      </c>
      <c r="E706" t="s">
        <v>1482</v>
      </c>
      <c r="F706">
        <v>949</v>
      </c>
      <c r="G706" s="1">
        <v>2000</v>
      </c>
      <c r="H706" s="6">
        <v>53</v>
      </c>
      <c r="I706">
        <v>3.9</v>
      </c>
      <c r="J706" s="1">
        <v>14969</v>
      </c>
    </row>
    <row r="707" spans="1:10">
      <c r="A707" t="s">
        <v>1483</v>
      </c>
      <c r="B707" t="s">
        <v>1484</v>
      </c>
      <c r="C707" t="str">
        <f>LEFT(B707,FIND(" ",B707)-1)</f>
        <v>Fire-Boltt</v>
      </c>
      <c r="D707" t="str">
        <f>TRIM(RIGHT(E707,LEN(E707)-FIND("@",SUBSTITUTE(E707,"|","@",LEN(E707)-LEN(SUBSTITUTE(E707,"|",""))))))</f>
        <v>SmartWatches</v>
      </c>
      <c r="E707" t="s">
        <v>714</v>
      </c>
      <c r="F707" s="1">
        <v>2499</v>
      </c>
      <c r="G707" s="1">
        <v>9999</v>
      </c>
      <c r="H707" s="6">
        <v>75</v>
      </c>
      <c r="I707">
        <v>4.0999999999999996</v>
      </c>
      <c r="J707" s="1">
        <v>42139</v>
      </c>
    </row>
    <row r="708" spans="1:10">
      <c r="A708" t="s">
        <v>1485</v>
      </c>
      <c r="B708" t="s">
        <v>1486</v>
      </c>
      <c r="C708" t="str">
        <f>LEFT(B708,FIND(" ",B708)-1)</f>
        <v>Eveready</v>
      </c>
      <c r="D708" t="str">
        <f>TRIM(RIGHT(E708,LEN(E708)-FIND("@",SUBSTITUTE(E708,"|","@",LEN(E708)-LEN(SUBSTITUTE(E708,"|",""))))))</f>
        <v>DisposableBatteries</v>
      </c>
      <c r="E708" t="s">
        <v>1236</v>
      </c>
      <c r="F708">
        <v>159</v>
      </c>
      <c r="G708">
        <v>180</v>
      </c>
      <c r="H708" s="6">
        <v>12</v>
      </c>
      <c r="I708">
        <v>4.3</v>
      </c>
      <c r="J708">
        <v>989</v>
      </c>
    </row>
    <row r="709" spans="1:10">
      <c r="A709" t="s">
        <v>1487</v>
      </c>
      <c r="B709" t="s">
        <v>1488</v>
      </c>
      <c r="C709" t="str">
        <f>LEFT(B709,FIND(" ",B709)-1)</f>
        <v>SanDisk</v>
      </c>
      <c r="D709" t="str">
        <f>TRIM(RIGHT(E709,LEN(E709)-FIND("@",SUBSTITUTE(E709,"|","@",LEN(E709)-LEN(SUBSTITUTE(E709,"|",""))))))</f>
        <v>MicroSD</v>
      </c>
      <c r="E709" t="s">
        <v>736</v>
      </c>
      <c r="F709" s="1">
        <v>1329</v>
      </c>
      <c r="G709" s="1">
        <v>2900</v>
      </c>
      <c r="H709" s="6">
        <v>54</v>
      </c>
      <c r="I709">
        <v>4.5</v>
      </c>
      <c r="J709" s="1">
        <v>19624</v>
      </c>
    </row>
    <row r="710" spans="1:10">
      <c r="A710" t="s">
        <v>1489</v>
      </c>
      <c r="B710" t="s">
        <v>1490</v>
      </c>
      <c r="C710" t="str">
        <f>LEFT(B710,FIND(" ",B710)-1)</f>
        <v>Portronics</v>
      </c>
      <c r="D710" t="str">
        <f>TRIM(RIGHT(E710,LEN(E710)-FIND("@",SUBSTITUTE(E710,"|","@",LEN(E710)-LEN(SUBSTITUTE(E710,"|",""))))))</f>
        <v>USBHubs</v>
      </c>
      <c r="E710" t="s">
        <v>1473</v>
      </c>
      <c r="F710">
        <v>570</v>
      </c>
      <c r="G710">
        <v>999</v>
      </c>
      <c r="H710" s="6">
        <v>43</v>
      </c>
      <c r="I710">
        <v>4.2</v>
      </c>
      <c r="J710" s="1">
        <v>3201</v>
      </c>
    </row>
    <row r="711" spans="1:10">
      <c r="A711" t="s">
        <v>1491</v>
      </c>
      <c r="B711" t="s">
        <v>1492</v>
      </c>
      <c r="C711" t="str">
        <f>LEFT(B711,FIND(" ",B711)-1)</f>
        <v>Infinity</v>
      </c>
      <c r="D711" t="str">
        <f>TRIM(RIGHT(E711,LEN(E711)-FIND("@",SUBSTITUTE(E711,"|","@",LEN(E711)-LEN(SUBSTITUTE(E711,"|",""))))))</f>
        <v>OutdoorSpeakers</v>
      </c>
      <c r="E711" t="s">
        <v>1493</v>
      </c>
      <c r="F711">
        <v>899</v>
      </c>
      <c r="G711" s="1">
        <v>1999</v>
      </c>
      <c r="H711" s="6">
        <v>55</v>
      </c>
      <c r="I711">
        <v>4.0999999999999996</v>
      </c>
      <c r="J711" s="1">
        <v>30469</v>
      </c>
    </row>
    <row r="712" spans="1:10">
      <c r="A712" t="s">
        <v>1494</v>
      </c>
      <c r="B712" t="s">
        <v>1495</v>
      </c>
      <c r="C712" t="str">
        <f>LEFT(B712,FIND(" ",B712)-1)</f>
        <v>AirCase</v>
      </c>
      <c r="D712" t="str">
        <f>TRIM(RIGHT(E712,LEN(E712)-FIND("@",SUBSTITUTE(E712,"|","@",LEN(E712)-LEN(SUBSTITUTE(E712,"|",""))))))</f>
        <v>LaptopSleeves&amp;Slipcases</v>
      </c>
      <c r="E712" t="s">
        <v>1496</v>
      </c>
      <c r="F712">
        <v>449</v>
      </c>
      <c r="G712">
        <v>999</v>
      </c>
      <c r="H712" s="6">
        <v>55</v>
      </c>
      <c r="I712">
        <v>4.4000000000000004</v>
      </c>
      <c r="J712" s="1">
        <v>9940</v>
      </c>
    </row>
    <row r="713" spans="1:10">
      <c r="A713" t="s">
        <v>1497</v>
      </c>
      <c r="B713" t="s">
        <v>1498</v>
      </c>
      <c r="C713" t="str">
        <f>LEFT(B713,FIND(" ",B713)-1)</f>
        <v>Brand</v>
      </c>
      <c r="D713" t="str">
        <f>TRIM(RIGHT(E713,LEN(E713)-FIND("@",SUBSTITUTE(E713,"|","@",LEN(E713)-LEN(SUBSTITUTE(E713,"|",""))))))</f>
        <v>ExternalMemoryCardReaders</v>
      </c>
      <c r="E713" t="s">
        <v>1499</v>
      </c>
      <c r="F713">
        <v>549</v>
      </c>
      <c r="G713">
        <v>999</v>
      </c>
      <c r="H713" s="6">
        <v>45</v>
      </c>
      <c r="I713">
        <v>4.3</v>
      </c>
      <c r="J713" s="1">
        <v>7758</v>
      </c>
    </row>
    <row r="714" spans="1:10">
      <c r="A714" t="s">
        <v>1500</v>
      </c>
      <c r="B714" t="s">
        <v>1501</v>
      </c>
      <c r="C714" t="str">
        <f>LEFT(B714,FIND(" ",B714)-1)</f>
        <v>TP-Link</v>
      </c>
      <c r="D714" t="str">
        <f>TRIM(RIGHT(E714,LEN(E714)-FIND("@",SUBSTITUTE(E714,"|","@",LEN(E714)-LEN(SUBSTITUTE(E714,"|",""))))))</f>
        <v>Routers</v>
      </c>
      <c r="E714" t="s">
        <v>1328</v>
      </c>
      <c r="F714" s="1">
        <v>1529</v>
      </c>
      <c r="G714" s="1">
        <v>2399</v>
      </c>
      <c r="H714" s="6">
        <v>36</v>
      </c>
      <c r="I714">
        <v>4.3</v>
      </c>
      <c r="J714" s="1">
        <v>68409</v>
      </c>
    </row>
    <row r="715" spans="1:10">
      <c r="A715" t="s">
        <v>1502</v>
      </c>
      <c r="B715" t="s">
        <v>1503</v>
      </c>
      <c r="C715" t="str">
        <f>LEFT(B715,FIND(" ",B715)-1)</f>
        <v>Parker</v>
      </c>
      <c r="D715" t="str">
        <f>TRIM(RIGHT(E715,LEN(E715)-FIND("@",SUBSTITUTE(E715,"|","@",LEN(E715)-LEN(SUBSTITUTE(E715,"|",""))))))</f>
        <v>BottledInk</v>
      </c>
      <c r="E715" t="s">
        <v>1504</v>
      </c>
      <c r="F715">
        <v>100</v>
      </c>
      <c r="G715">
        <v>100</v>
      </c>
      <c r="H715" s="6">
        <v>0</v>
      </c>
      <c r="I715">
        <v>4.3</v>
      </c>
      <c r="J715" s="1">
        <v>3095</v>
      </c>
    </row>
    <row r="716" spans="1:10">
      <c r="A716" t="s">
        <v>1505</v>
      </c>
      <c r="B716" t="s">
        <v>1506</v>
      </c>
      <c r="C716" t="str">
        <f>LEFT(B716,FIND(" ",B716)-1)</f>
        <v>STRIFF</v>
      </c>
      <c r="D716" t="str">
        <f>TRIM(RIGHT(E716,LEN(E716)-FIND("@",SUBSTITUTE(E716,"|","@",LEN(E716)-LEN(SUBSTITUTE(E716,"|",""))))))</f>
        <v>NotebookComputerStands</v>
      </c>
      <c r="E716" t="s">
        <v>1207</v>
      </c>
      <c r="F716">
        <v>299</v>
      </c>
      <c r="G716" s="1">
        <v>1499</v>
      </c>
      <c r="H716" s="6">
        <v>8</v>
      </c>
      <c r="I716">
        <v>4.2</v>
      </c>
      <c r="J716">
        <v>903</v>
      </c>
    </row>
    <row r="717" spans="1:10">
      <c r="A717" t="s">
        <v>1507</v>
      </c>
      <c r="B717" t="s">
        <v>1508</v>
      </c>
      <c r="C717" t="str">
        <f>LEFT(B717,FIND(" ",B717)-1)</f>
        <v>Logitech</v>
      </c>
      <c r="D717" t="str">
        <f>TRIM(RIGHT(E717,LEN(E717)-FIND("@",SUBSTITUTE(E717,"|","@",LEN(E717)-LEN(SUBSTITUTE(E717,"|",""))))))</f>
        <v>Keyboard&amp;MouseSets</v>
      </c>
      <c r="E717" t="s">
        <v>1249</v>
      </c>
      <c r="F717" s="1">
        <v>1295</v>
      </c>
      <c r="G717" s="1">
        <v>1795</v>
      </c>
      <c r="H717" s="6">
        <v>28</v>
      </c>
      <c r="I717">
        <v>4.0999999999999996</v>
      </c>
      <c r="J717" s="1">
        <v>25771</v>
      </c>
    </row>
    <row r="718" spans="1:10">
      <c r="A718" t="s">
        <v>1509</v>
      </c>
      <c r="B718" t="s">
        <v>1510</v>
      </c>
      <c r="C718" t="str">
        <f>LEFT(B718,FIND(" ",B718)-1)</f>
        <v>boAt</v>
      </c>
      <c r="D718" t="str">
        <f>TRIM(RIGHT(E718,LEN(E718)-FIND("@",SUBSTITUTE(E718,"|","@",LEN(E718)-LEN(SUBSTITUTE(E718,"|",""))))))</f>
        <v>In-Ear</v>
      </c>
      <c r="E718" t="s">
        <v>747</v>
      </c>
      <c r="F718">
        <v>699</v>
      </c>
      <c r="G718">
        <v>999</v>
      </c>
      <c r="H718" s="6">
        <v>3</v>
      </c>
      <c r="I718">
        <v>4.0999999999999996</v>
      </c>
      <c r="J718" t="s">
        <v>1511</v>
      </c>
    </row>
    <row r="719" spans="1:10">
      <c r="A719" t="s">
        <v>1512</v>
      </c>
      <c r="B719" t="s">
        <v>1513</v>
      </c>
      <c r="C719" t="str">
        <f>LEFT(B719,FIND(" ",B719)-1)</f>
        <v>Luxor</v>
      </c>
      <c r="D719" t="str">
        <f>TRIM(RIGHT(E719,LEN(E719)-FIND("@",SUBSTITUTE(E719,"|","@",LEN(E719)-LEN(SUBSTITUTE(E719,"|",""))))))</f>
        <v>CompositionNotebooks</v>
      </c>
      <c r="E719" t="s">
        <v>1514</v>
      </c>
      <c r="F719">
        <v>252</v>
      </c>
      <c r="G719">
        <v>315</v>
      </c>
      <c r="H719" s="6">
        <v>2</v>
      </c>
      <c r="I719">
        <v>4.5</v>
      </c>
      <c r="J719" s="1">
        <v>3785</v>
      </c>
    </row>
    <row r="720" spans="1:10">
      <c r="A720" t="s">
        <v>1515</v>
      </c>
      <c r="B720" t="s">
        <v>1516</v>
      </c>
      <c r="C720" t="str">
        <f>LEFT(B720,FIND(" ",B720)-1)</f>
        <v>Duracell</v>
      </c>
      <c r="D720" t="str">
        <f>TRIM(RIGHT(E720,LEN(E720)-FIND("@",SUBSTITUTE(E720,"|","@",LEN(E720)-LEN(SUBSTITUTE(E720,"|",""))))))</f>
        <v>DisposableBatteries</v>
      </c>
      <c r="E720" t="s">
        <v>1236</v>
      </c>
      <c r="F720">
        <v>190</v>
      </c>
      <c r="G720">
        <v>220</v>
      </c>
      <c r="H720" s="6">
        <v>14</v>
      </c>
      <c r="I720">
        <v>4.4000000000000004</v>
      </c>
      <c r="J720" s="1">
        <v>2866</v>
      </c>
    </row>
    <row r="721" spans="1:10">
      <c r="A721" t="s">
        <v>1517</v>
      </c>
      <c r="B721" t="s">
        <v>1518</v>
      </c>
      <c r="C721" t="str">
        <f>LEFT(B721,FIND(" ",B721)-1)</f>
        <v>Zebronics</v>
      </c>
      <c r="D721" t="str">
        <f>TRIM(RIGHT(E721,LEN(E721)-FIND("@",SUBSTITUTE(E721,"|","@",LEN(E721)-LEN(SUBSTITUTE(E721,"|",""))))))</f>
        <v>Keyboard&amp;MouseSets</v>
      </c>
      <c r="E721" t="s">
        <v>1249</v>
      </c>
      <c r="F721" s="1">
        <v>1299</v>
      </c>
      <c r="G721" s="1">
        <v>1599</v>
      </c>
      <c r="H721" s="6">
        <v>19</v>
      </c>
      <c r="I721">
        <v>4.3</v>
      </c>
      <c r="J721" s="1">
        <v>27223</v>
      </c>
    </row>
    <row r="722" spans="1:10">
      <c r="A722" t="s">
        <v>1519</v>
      </c>
      <c r="B722" t="s">
        <v>1520</v>
      </c>
      <c r="C722" t="str">
        <f>LEFT(B722,FIND(" ",B722)-1)</f>
        <v>SanDisk</v>
      </c>
      <c r="D722" t="str">
        <f>TRIM(RIGHT(E722,LEN(E722)-FIND("@",SUBSTITUTE(E722,"|","@",LEN(E722)-LEN(SUBSTITUTE(E722,"|",""))))))</f>
        <v>PenDrives</v>
      </c>
      <c r="E722" t="s">
        <v>1188</v>
      </c>
      <c r="F722">
        <v>729</v>
      </c>
      <c r="G722" s="1">
        <v>1650</v>
      </c>
      <c r="H722" s="6">
        <v>56</v>
      </c>
      <c r="I722">
        <v>4.3</v>
      </c>
      <c r="J722" s="1">
        <v>82356</v>
      </c>
    </row>
    <row r="723" spans="1:10">
      <c r="A723" t="s">
        <v>1521</v>
      </c>
      <c r="B723" t="s">
        <v>1522</v>
      </c>
      <c r="C723" t="str">
        <f>LEFT(B723,FIND(" ",B723)-1)</f>
        <v>Parker</v>
      </c>
      <c r="D723" t="str">
        <f>TRIM(RIGHT(E723,LEN(E723)-FIND("@",SUBSTITUTE(E723,"|","@",LEN(E723)-LEN(SUBSTITUTE(E723,"|",""))))))</f>
        <v>RetractableBallpointPens</v>
      </c>
      <c r="E723" t="s">
        <v>1523</v>
      </c>
      <c r="F723">
        <v>480</v>
      </c>
      <c r="G723">
        <v>600</v>
      </c>
      <c r="H723" s="6">
        <v>2</v>
      </c>
      <c r="I723">
        <v>4.3</v>
      </c>
      <c r="J723" s="1">
        <v>5719</v>
      </c>
    </row>
    <row r="724" spans="1:10">
      <c r="A724" t="s">
        <v>1524</v>
      </c>
      <c r="B724" t="s">
        <v>1525</v>
      </c>
      <c r="C724" t="str">
        <f>LEFT(B724,FIND(" ",B724)-1)</f>
        <v>Tarkan</v>
      </c>
      <c r="D724" t="str">
        <f>TRIM(RIGHT(E724,LEN(E724)-FIND("@",SUBSTITUTE(E724,"|","@",LEN(E724)-LEN(SUBSTITUTE(E724,"|",""))))))</f>
        <v>Lapdesks</v>
      </c>
      <c r="E724" t="s">
        <v>1201</v>
      </c>
      <c r="F724">
        <v>999</v>
      </c>
      <c r="G724" s="1">
        <v>2499</v>
      </c>
      <c r="H724" s="6">
        <v>6</v>
      </c>
      <c r="I724">
        <v>4.3</v>
      </c>
      <c r="J724" s="1">
        <v>1690</v>
      </c>
    </row>
    <row r="725" spans="1:10">
      <c r="A725" t="s">
        <v>1526</v>
      </c>
      <c r="B725" t="s">
        <v>1527</v>
      </c>
      <c r="C725" t="str">
        <f>LEFT(B725,FIND(" ",B725)-1)</f>
        <v>Quantum</v>
      </c>
      <c r="D725" t="str">
        <f>TRIM(RIGHT(E725,LEN(E725)-FIND("@",SUBSTITUTE(E725,"|","@",LEN(E725)-LEN(SUBSTITUTE(E725,"|",""))))))</f>
        <v>EthernetCables</v>
      </c>
      <c r="E725" t="s">
        <v>1528</v>
      </c>
      <c r="F725">
        <v>238</v>
      </c>
      <c r="G725">
        <v>699</v>
      </c>
      <c r="H725" s="6">
        <v>66</v>
      </c>
      <c r="I725">
        <v>4.4000000000000004</v>
      </c>
      <c r="J725" s="1">
        <v>8372</v>
      </c>
    </row>
    <row r="726" spans="1:10">
      <c r="A726" t="s">
        <v>1529</v>
      </c>
      <c r="B726" t="s">
        <v>1530</v>
      </c>
      <c r="C726" t="str">
        <f>LEFT(B726,FIND(" ",B726)-1)</f>
        <v>HP</v>
      </c>
      <c r="D726" t="str">
        <f>TRIM(RIGHT(E726,LEN(E726)-FIND("@",SUBSTITUTE(E726,"|","@",LEN(E726)-LEN(SUBSTITUTE(E726,"|",""))))))</f>
        <v>Keyboard&amp;MouseSets</v>
      </c>
      <c r="E726" t="s">
        <v>1249</v>
      </c>
      <c r="F726" s="1">
        <v>1349</v>
      </c>
      <c r="G726" s="1">
        <v>2198</v>
      </c>
      <c r="H726" s="6">
        <v>39</v>
      </c>
      <c r="I726">
        <v>4</v>
      </c>
      <c r="J726" s="1">
        <v>7113</v>
      </c>
    </row>
    <row r="727" spans="1:10">
      <c r="A727" t="s">
        <v>1531</v>
      </c>
      <c r="B727" t="s">
        <v>1532</v>
      </c>
      <c r="C727" t="str">
        <f>LEFT(B727,FIND(" ",B727)-1)</f>
        <v>HUMBLE</v>
      </c>
      <c r="D727" t="str">
        <f>TRIM(RIGHT(E727,LEN(E727)-FIND("@",SUBSTITUTE(E727,"|","@",LEN(E727)-LEN(SUBSTITUTE(E727,"|",""))))))</f>
        <v>PCMicrophones</v>
      </c>
      <c r="E727" t="s">
        <v>1482</v>
      </c>
      <c r="F727">
        <v>199</v>
      </c>
      <c r="G727">
        <v>499</v>
      </c>
      <c r="H727" s="6">
        <v>6</v>
      </c>
      <c r="I727">
        <v>3.3</v>
      </c>
      <c r="J727" s="1">
        <v>2804</v>
      </c>
    </row>
    <row r="728" spans="1:10">
      <c r="A728" t="s">
        <v>1533</v>
      </c>
      <c r="B728" t="s">
        <v>1534</v>
      </c>
      <c r="C728" t="str">
        <f>LEFT(B728,FIND(" ",B728)-1)</f>
        <v>Boult</v>
      </c>
      <c r="D728" t="str">
        <f>TRIM(RIGHT(E728,LEN(E728)-FIND("@",SUBSTITUTE(E728,"|","@",LEN(E728)-LEN(SUBSTITUTE(E728,"|",""))))))</f>
        <v>In-Ear</v>
      </c>
      <c r="E728" t="s">
        <v>747</v>
      </c>
      <c r="F728" s="1">
        <v>1999</v>
      </c>
      <c r="G728" s="1">
        <v>9999</v>
      </c>
      <c r="H728" s="6">
        <v>8</v>
      </c>
      <c r="I728">
        <v>3.7</v>
      </c>
      <c r="J728" s="1">
        <v>1986</v>
      </c>
    </row>
    <row r="729" spans="1:10">
      <c r="A729" t="s">
        <v>1535</v>
      </c>
      <c r="B729" t="s">
        <v>1536</v>
      </c>
      <c r="C729" t="str">
        <f>LEFT(B729,FIND(" ",B729)-1)</f>
        <v>STRIFF</v>
      </c>
      <c r="D729" t="str">
        <f>TRIM(RIGHT(E729,LEN(E729)-FIND("@",SUBSTITUTE(E729,"|","@",LEN(E729)-LEN(SUBSTITUTE(E729,"|",""))))))</f>
        <v>Stands</v>
      </c>
      <c r="E729" t="s">
        <v>855</v>
      </c>
      <c r="F729">
        <v>99</v>
      </c>
      <c r="G729">
        <v>499</v>
      </c>
      <c r="H729" s="6">
        <v>8</v>
      </c>
      <c r="I729">
        <v>4.0999999999999996</v>
      </c>
      <c r="J729" s="1">
        <v>2451</v>
      </c>
    </row>
    <row r="730" spans="1:10">
      <c r="A730" t="s">
        <v>1537</v>
      </c>
      <c r="B730" t="s">
        <v>1538</v>
      </c>
      <c r="C730" t="str">
        <f>LEFT(B730,FIND(" ",B730)-1)</f>
        <v>Amazon</v>
      </c>
      <c r="D730" t="str">
        <f>TRIM(RIGHT(E730,LEN(E730)-FIND("@",SUBSTITUTE(E730,"|","@",LEN(E730)-LEN(SUBSTITUTE(E730,"|",""))))))</f>
        <v>Mice</v>
      </c>
      <c r="E730" t="s">
        <v>1192</v>
      </c>
      <c r="F730">
        <v>499</v>
      </c>
      <c r="G730" s="1">
        <v>1000</v>
      </c>
      <c r="H730" s="6">
        <v>5</v>
      </c>
      <c r="I730">
        <v>5</v>
      </c>
      <c r="J730">
        <v>23</v>
      </c>
    </row>
    <row r="731" spans="1:10">
      <c r="A731" t="s">
        <v>1539</v>
      </c>
      <c r="B731" t="s">
        <v>1540</v>
      </c>
      <c r="C731" t="str">
        <f>LEFT(B731,FIND(" ",B731)-1)</f>
        <v>Crucial</v>
      </c>
      <c r="D731" t="str">
        <f>TRIM(RIGHT(E731,LEN(E731)-FIND("@",SUBSTITUTE(E731,"|","@",LEN(E731)-LEN(SUBSTITUTE(E731,"|",""))))))</f>
        <v>Memory</v>
      </c>
      <c r="E731" t="s">
        <v>1541</v>
      </c>
      <c r="F731" s="1">
        <v>1792</v>
      </c>
      <c r="G731" s="1">
        <v>3500</v>
      </c>
      <c r="H731" s="6">
        <v>49</v>
      </c>
      <c r="I731">
        <v>4.5</v>
      </c>
      <c r="J731" s="1">
        <v>26194</v>
      </c>
    </row>
    <row r="732" spans="1:10">
      <c r="A732" t="s">
        <v>1542</v>
      </c>
      <c r="B732" t="s">
        <v>1543</v>
      </c>
      <c r="C732" t="str">
        <f>LEFT(B732,FIND(" ",B732)-1)</f>
        <v>APC</v>
      </c>
      <c r="D732" t="str">
        <f>TRIM(RIGHT(E732,LEN(E732)-FIND("@",SUBSTITUTE(E732,"|","@",LEN(E732)-LEN(SUBSTITUTE(E732,"|",""))))))</f>
        <v>UninterruptedPowerSupplies</v>
      </c>
      <c r="E732" t="s">
        <v>1544</v>
      </c>
      <c r="F732" s="1">
        <v>3299</v>
      </c>
      <c r="G732" s="1">
        <v>4100</v>
      </c>
      <c r="H732" s="6">
        <v>2</v>
      </c>
      <c r="I732">
        <v>3.9</v>
      </c>
      <c r="J732" s="1">
        <v>15783</v>
      </c>
    </row>
    <row r="733" spans="1:10">
      <c r="A733" t="s">
        <v>1545</v>
      </c>
      <c r="B733" t="s">
        <v>1546</v>
      </c>
      <c r="C733" t="str">
        <f>LEFT(B733,FIND(" ",B733)-1)</f>
        <v>Luxor</v>
      </c>
      <c r="D733" t="str">
        <f>TRIM(RIGHT(E733,LEN(E733)-FIND("@",SUBSTITUTE(E733,"|","@",LEN(E733)-LEN(SUBSTITUTE(E733,"|",""))))))</f>
        <v>CompositionNotebooks</v>
      </c>
      <c r="E733" t="s">
        <v>1514</v>
      </c>
      <c r="F733">
        <v>125</v>
      </c>
      <c r="G733">
        <v>180</v>
      </c>
      <c r="H733" s="6">
        <v>31</v>
      </c>
      <c r="I733">
        <v>4.4000000000000004</v>
      </c>
      <c r="J733" s="1">
        <v>8053</v>
      </c>
    </row>
    <row r="734" spans="1:10">
      <c r="A734" t="s">
        <v>1547</v>
      </c>
      <c r="B734" t="s">
        <v>1548</v>
      </c>
      <c r="C734" t="str">
        <f>LEFT(B734,FIND(" ",B734)-1)</f>
        <v>Zebronics</v>
      </c>
      <c r="D734" t="str">
        <f>TRIM(RIGHT(E734,LEN(E734)-FIND("@",SUBSTITUTE(E734,"|","@",LEN(E734)-LEN(SUBSTITUTE(E734,"|",""))))))</f>
        <v>Mice</v>
      </c>
      <c r="E734" t="s">
        <v>1192</v>
      </c>
      <c r="F734">
        <v>399</v>
      </c>
      <c r="G734" s="1">
        <v>1190</v>
      </c>
      <c r="H734" s="6">
        <v>66</v>
      </c>
      <c r="I734">
        <v>4.0999999999999996</v>
      </c>
      <c r="J734" s="1">
        <v>2809</v>
      </c>
    </row>
    <row r="735" spans="1:10">
      <c r="A735" t="s">
        <v>1549</v>
      </c>
      <c r="B735" t="s">
        <v>1550</v>
      </c>
      <c r="C735" t="str">
        <f>LEFT(B735,FIND(" ",B735)-1)</f>
        <v>Boult</v>
      </c>
      <c r="D735" t="str">
        <f>TRIM(RIGHT(E735,LEN(E735)-FIND("@",SUBSTITUTE(E735,"|","@",LEN(E735)-LEN(SUBSTITUTE(E735,"|",""))))))</f>
        <v>In-Ear</v>
      </c>
      <c r="E735" t="s">
        <v>747</v>
      </c>
      <c r="F735" s="1">
        <v>1199</v>
      </c>
      <c r="G735" s="1">
        <v>7999</v>
      </c>
      <c r="H735" s="6">
        <v>85</v>
      </c>
      <c r="I735">
        <v>3.6</v>
      </c>
      <c r="J735" s="1">
        <v>25910</v>
      </c>
    </row>
    <row r="736" spans="1:10">
      <c r="A736" t="s">
        <v>1551</v>
      </c>
      <c r="B736" t="s">
        <v>1552</v>
      </c>
      <c r="C736" t="str">
        <f>LEFT(B736,FIND(" ",B736)-1)</f>
        <v>Wembley</v>
      </c>
      <c r="D736" t="str">
        <f>TRIM(RIGHT(E736,LEN(E736)-FIND("@",SUBSTITUTE(E736,"|","@",LEN(E736)-LEN(SUBSTITUTE(E736,"|",""))))))</f>
        <v>GraphicTablets</v>
      </c>
      <c r="E736" t="s">
        <v>1195</v>
      </c>
      <c r="F736">
        <v>235</v>
      </c>
      <c r="G736" s="1">
        <v>1599</v>
      </c>
      <c r="H736" s="6">
        <v>85</v>
      </c>
      <c r="I736">
        <v>3.8</v>
      </c>
      <c r="J736" s="1">
        <v>1173</v>
      </c>
    </row>
    <row r="737" spans="1:10">
      <c r="A737" t="s">
        <v>1553</v>
      </c>
      <c r="B737" t="s">
        <v>1554</v>
      </c>
      <c r="C737" t="str">
        <f>LEFT(B737,FIND(" ",B737)-1)</f>
        <v>Gizga</v>
      </c>
      <c r="D737" t="str">
        <f>TRIM(RIGHT(E737,LEN(E737)-FIND("@",SUBSTITUTE(E737,"|","@",LEN(E737)-LEN(SUBSTITUTE(E737,"|",""))))))</f>
        <v>Lapdesks</v>
      </c>
      <c r="E737" t="s">
        <v>1201</v>
      </c>
      <c r="F737">
        <v>549</v>
      </c>
      <c r="G737" s="1">
        <v>1999</v>
      </c>
      <c r="H737" s="6">
        <v>73</v>
      </c>
      <c r="I737">
        <v>3.6</v>
      </c>
      <c r="J737" s="1">
        <v>6422</v>
      </c>
    </row>
    <row r="738" spans="1:10">
      <c r="A738" t="s">
        <v>1555</v>
      </c>
      <c r="B738" t="s">
        <v>1556</v>
      </c>
      <c r="C738" t="str">
        <f>LEFT(B738,FIND(" ",B738)-1)</f>
        <v>E-COSMOS</v>
      </c>
      <c r="D738" t="str">
        <f>TRIM(RIGHT(E738,LEN(E738)-FIND("@",SUBSTITUTE(E738,"|","@",LEN(E738)-LEN(SUBSTITUTE(E738,"|",""))))))</f>
        <v>Lamps</v>
      </c>
      <c r="E738" t="s">
        <v>1413</v>
      </c>
      <c r="F738">
        <v>89</v>
      </c>
      <c r="G738">
        <v>99</v>
      </c>
      <c r="H738" s="6">
        <v>1</v>
      </c>
      <c r="I738">
        <v>4.2</v>
      </c>
      <c r="J738">
        <v>241</v>
      </c>
    </row>
    <row r="739" spans="1:10">
      <c r="A739" t="s">
        <v>1557</v>
      </c>
      <c r="B739" t="s">
        <v>1558</v>
      </c>
      <c r="C739" t="str">
        <f>LEFT(B739,FIND(" ",B739)-1)</f>
        <v>Noise</v>
      </c>
      <c r="D739" t="str">
        <f>TRIM(RIGHT(E739,LEN(E739)-FIND("@",SUBSTITUTE(E739,"|","@",LEN(E739)-LEN(SUBSTITUTE(E739,"|",""))))))</f>
        <v>In-Ear</v>
      </c>
      <c r="E739" t="s">
        <v>747</v>
      </c>
      <c r="F739" s="1">
        <v>1299</v>
      </c>
      <c r="G739" s="1">
        <v>2999</v>
      </c>
      <c r="H739" s="6">
        <v>57</v>
      </c>
      <c r="I739">
        <v>3.8</v>
      </c>
      <c r="J739" s="1">
        <v>14629</v>
      </c>
    </row>
    <row r="740" spans="1:10">
      <c r="A740" t="s">
        <v>1559</v>
      </c>
      <c r="B740" t="s">
        <v>1560</v>
      </c>
      <c r="C740" t="str">
        <f>LEFT(B740,FIND(" ",B740)-1)</f>
        <v>Lapster</v>
      </c>
      <c r="D740" t="str">
        <f>TRIM(RIGHT(E740,LEN(E740)-FIND("@",SUBSTITUTE(E740,"|","@",LEN(E740)-LEN(SUBSTITUTE(E740,"|",""))))))</f>
        <v>MousePads</v>
      </c>
      <c r="E740" t="s">
        <v>1307</v>
      </c>
      <c r="F740">
        <v>230</v>
      </c>
      <c r="G740">
        <v>999</v>
      </c>
      <c r="H740" s="6">
        <v>77</v>
      </c>
      <c r="I740">
        <v>4.2</v>
      </c>
      <c r="J740" s="1">
        <v>1528</v>
      </c>
    </row>
    <row r="741" spans="1:10">
      <c r="A741" t="s">
        <v>1561</v>
      </c>
      <c r="B741" t="s">
        <v>1562</v>
      </c>
      <c r="C741" t="str">
        <f>LEFT(B741,FIND(" ",B741)-1)</f>
        <v>Gizga</v>
      </c>
      <c r="D741" t="str">
        <f>TRIM(RIGHT(E741,LEN(E741)-FIND("@",SUBSTITUTE(E741,"|","@",LEN(E741)-LEN(SUBSTITUTE(E741,"|",""))))))</f>
        <v>Cases</v>
      </c>
      <c r="E741" t="s">
        <v>1563</v>
      </c>
      <c r="F741">
        <v>119</v>
      </c>
      <c r="G741">
        <v>499</v>
      </c>
      <c r="H741" s="6">
        <v>76</v>
      </c>
      <c r="I741">
        <v>4.3</v>
      </c>
      <c r="J741" s="1">
        <v>15032</v>
      </c>
    </row>
    <row r="742" spans="1:10">
      <c r="A742" t="s">
        <v>1564</v>
      </c>
      <c r="B742" t="s">
        <v>1565</v>
      </c>
      <c r="C742" t="str">
        <f>LEFT(B742,FIND(" ",B742)-1)</f>
        <v>SanDisk</v>
      </c>
      <c r="D742" t="str">
        <f>TRIM(RIGHT(E742,LEN(E742)-FIND("@",SUBSTITUTE(E742,"|","@",LEN(E742)-LEN(SUBSTITUTE(E742,"|",""))))))</f>
        <v>SecureDigitalCards</v>
      </c>
      <c r="E742" t="s">
        <v>1566</v>
      </c>
      <c r="F742">
        <v>449</v>
      </c>
      <c r="G742">
        <v>800</v>
      </c>
      <c r="H742" s="6">
        <v>44</v>
      </c>
      <c r="I742">
        <v>4.4000000000000004</v>
      </c>
      <c r="J742" s="1">
        <v>69585</v>
      </c>
    </row>
    <row r="743" spans="1:10">
      <c r="A743" t="s">
        <v>1567</v>
      </c>
      <c r="B743" t="s">
        <v>1568</v>
      </c>
      <c r="C743" t="str">
        <f>LEFT(B743,FIND(" ",B743)-1)</f>
        <v>DIGITEKÂ®</v>
      </c>
      <c r="D743" t="str">
        <f>TRIM(RIGHT(E743,LEN(E743)-FIND("@",SUBSTITUTE(E743,"|","@",LEN(E743)-LEN(SUBSTITUTE(E743,"|",""))))))</f>
        <v>SelfieLights</v>
      </c>
      <c r="E743" t="s">
        <v>1569</v>
      </c>
      <c r="F743" s="1">
        <v>1699</v>
      </c>
      <c r="G743" s="1">
        <v>3495</v>
      </c>
      <c r="H743" s="6">
        <v>51</v>
      </c>
      <c r="I743">
        <v>4.0999999999999996</v>
      </c>
      <c r="J743" s="1">
        <v>14371</v>
      </c>
    </row>
    <row r="744" spans="1:10">
      <c r="A744" t="s">
        <v>1570</v>
      </c>
      <c r="B744" t="s">
        <v>1571</v>
      </c>
      <c r="C744" t="str">
        <f>LEFT(B744,FIND(" ",B744)-1)</f>
        <v>Classmate</v>
      </c>
      <c r="D744" t="str">
        <f>TRIM(RIGHT(E744,LEN(E744)-FIND("@",SUBSTITUTE(E744,"|","@",LEN(E744)-LEN(SUBSTITUTE(E744,"|",""))))))</f>
        <v>CompositionNotebooks</v>
      </c>
      <c r="E744" t="s">
        <v>1514</v>
      </c>
      <c r="F744">
        <v>561</v>
      </c>
      <c r="G744">
        <v>720</v>
      </c>
      <c r="H744" s="6">
        <v>22</v>
      </c>
      <c r="I744">
        <v>4.4000000000000004</v>
      </c>
      <c r="J744" s="1">
        <v>3182</v>
      </c>
    </row>
    <row r="745" spans="1:10">
      <c r="A745" t="s">
        <v>1572</v>
      </c>
      <c r="B745" t="s">
        <v>1573</v>
      </c>
      <c r="C745" t="str">
        <f>LEFT(B745,FIND(" ",B745)-1)</f>
        <v>Lenovo</v>
      </c>
      <c r="D745" t="str">
        <f>TRIM(RIGHT(E745,LEN(E745)-FIND("@",SUBSTITUTE(E745,"|","@",LEN(E745)-LEN(SUBSTITUTE(E745,"|",""))))))</f>
        <v>Mice</v>
      </c>
      <c r="E745" t="s">
        <v>1192</v>
      </c>
      <c r="F745">
        <v>289</v>
      </c>
      <c r="G745">
        <v>590</v>
      </c>
      <c r="H745" s="6">
        <v>51</v>
      </c>
      <c r="I745">
        <v>4.4000000000000004</v>
      </c>
      <c r="J745" s="1">
        <v>25886</v>
      </c>
    </row>
    <row r="746" spans="1:10">
      <c r="A746" t="s">
        <v>1574</v>
      </c>
      <c r="B746" t="s">
        <v>1575</v>
      </c>
      <c r="C746" t="str">
        <f>LEFT(B746,FIND(" ",B746)-1)</f>
        <v>Dyazo</v>
      </c>
      <c r="D746" t="str">
        <f>TRIM(RIGHT(E746,LEN(E746)-FIND("@",SUBSTITUTE(E746,"|","@",LEN(E746)-LEN(SUBSTITUTE(E746,"|",""))))))</f>
        <v>NotebookComputerStands</v>
      </c>
      <c r="E746" t="s">
        <v>1207</v>
      </c>
      <c r="F746">
        <v>599</v>
      </c>
      <c r="G746" s="1">
        <v>1999</v>
      </c>
      <c r="H746" s="6">
        <v>7</v>
      </c>
      <c r="I746">
        <v>4.4000000000000004</v>
      </c>
      <c r="J746" s="1">
        <v>4736</v>
      </c>
    </row>
    <row r="747" spans="1:10">
      <c r="A747" t="s">
        <v>1576</v>
      </c>
      <c r="B747" t="s">
        <v>1577</v>
      </c>
      <c r="C747" t="str">
        <f>LEFT(B747,FIND(" ",B747)-1)</f>
        <v>Western</v>
      </c>
      <c r="D747" t="str">
        <f>TRIM(RIGHT(E747,LEN(E747)-FIND("@",SUBSTITUTE(E747,"|","@",LEN(E747)-LEN(SUBSTITUTE(E747,"|",""))))))</f>
        <v>ExternalHardDisks</v>
      </c>
      <c r="E747" t="s">
        <v>1252</v>
      </c>
      <c r="F747" s="1">
        <v>5599</v>
      </c>
      <c r="G747" s="1">
        <v>7350</v>
      </c>
      <c r="H747" s="6">
        <v>24</v>
      </c>
      <c r="I747">
        <v>4.4000000000000004</v>
      </c>
      <c r="J747" s="1">
        <v>73005</v>
      </c>
    </row>
    <row r="748" spans="1:10">
      <c r="A748" t="s">
        <v>1578</v>
      </c>
      <c r="B748" t="s">
        <v>1579</v>
      </c>
      <c r="C748" t="str">
        <f>LEFT(B748,FIND(" ",B748)-1)</f>
        <v>Logitech</v>
      </c>
      <c r="D748" t="str">
        <f>TRIM(RIGHT(E748,LEN(E748)-FIND("@",SUBSTITUTE(E748,"|","@",LEN(E748)-LEN(SUBSTITUTE(E748,"|",""))))))</f>
        <v>Webcams</v>
      </c>
      <c r="E748" t="s">
        <v>1580</v>
      </c>
      <c r="F748" s="1">
        <v>1990</v>
      </c>
      <c r="G748" s="1">
        <v>2595</v>
      </c>
      <c r="H748" s="6">
        <v>23</v>
      </c>
      <c r="I748">
        <v>4.3</v>
      </c>
      <c r="J748" s="1">
        <v>20398</v>
      </c>
    </row>
    <row r="749" spans="1:10">
      <c r="A749" t="s">
        <v>1581</v>
      </c>
      <c r="B749" t="s">
        <v>1582</v>
      </c>
      <c r="C749" t="str">
        <f>LEFT(B749,FIND(" ",B749)-1)</f>
        <v>Portronics</v>
      </c>
      <c r="D749" t="str">
        <f>TRIM(RIGHT(E749,LEN(E749)-FIND("@",SUBSTITUTE(E749,"|","@",LEN(E749)-LEN(SUBSTITUTE(E749,"|",""))))))</f>
        <v>USBHubs</v>
      </c>
      <c r="E749" t="s">
        <v>1473</v>
      </c>
      <c r="F749">
        <v>499</v>
      </c>
      <c r="G749">
        <v>799</v>
      </c>
      <c r="H749" s="6">
        <v>38</v>
      </c>
      <c r="I749">
        <v>4.3</v>
      </c>
      <c r="J749" s="1">
        <v>2125</v>
      </c>
    </row>
    <row r="750" spans="1:10">
      <c r="A750" t="s">
        <v>1583</v>
      </c>
      <c r="B750" t="s">
        <v>1584</v>
      </c>
      <c r="C750" t="str">
        <f>LEFT(B750,FIND(" ",B750)-1)</f>
        <v>AirCase</v>
      </c>
      <c r="D750" t="str">
        <f>TRIM(RIGHT(E750,LEN(E750)-FIND("@",SUBSTITUTE(E750,"|","@",LEN(E750)-LEN(SUBSTITUTE(E750,"|",""))))))</f>
        <v>LaptopSleeves&amp;Slipcases</v>
      </c>
      <c r="E750" t="s">
        <v>1496</v>
      </c>
      <c r="F750">
        <v>449</v>
      </c>
      <c r="G750">
        <v>999</v>
      </c>
      <c r="H750" s="6">
        <v>55</v>
      </c>
      <c r="I750">
        <v>4.3</v>
      </c>
      <c r="J750" s="1">
        <v>11330</v>
      </c>
    </row>
    <row r="751" spans="1:10">
      <c r="A751" t="s">
        <v>1585</v>
      </c>
      <c r="B751" t="s">
        <v>1586</v>
      </c>
      <c r="C751" t="str">
        <f>LEFT(B751,FIND(" ",B751)-1)</f>
        <v>Zinq</v>
      </c>
      <c r="D751" t="str">
        <f>TRIM(RIGHT(E751,LEN(E751)-FIND("@",SUBSTITUTE(E751,"|","@",LEN(E751)-LEN(SUBSTITUTE(E751,"|",""))))))</f>
        <v>CoolingPads</v>
      </c>
      <c r="E751" t="s">
        <v>1587</v>
      </c>
      <c r="F751">
        <v>999</v>
      </c>
      <c r="G751" s="1">
        <v>1999</v>
      </c>
      <c r="H751" s="6">
        <v>5</v>
      </c>
      <c r="I751">
        <v>4.2</v>
      </c>
      <c r="J751" s="1">
        <v>27441</v>
      </c>
    </row>
    <row r="752" spans="1:10">
      <c r="A752" t="s">
        <v>1588</v>
      </c>
      <c r="B752" t="s">
        <v>1589</v>
      </c>
      <c r="C752" t="str">
        <f>LEFT(B752,FIND(" ",B752)-1)</f>
        <v>Gizga</v>
      </c>
      <c r="D752" t="str">
        <f>TRIM(RIGHT(E752,LEN(E752)-FIND("@",SUBSTITUTE(E752,"|","@",LEN(E752)-LEN(SUBSTITUTE(E752,"|",""))))))</f>
        <v>CameraPrivacyCovers</v>
      </c>
      <c r="E752" t="s">
        <v>1100</v>
      </c>
      <c r="F752">
        <v>69</v>
      </c>
      <c r="G752">
        <v>299</v>
      </c>
      <c r="H752" s="6">
        <v>77</v>
      </c>
      <c r="I752">
        <v>4.3</v>
      </c>
      <c r="J752">
        <v>255</v>
      </c>
    </row>
    <row r="753" spans="1:10">
      <c r="A753" t="s">
        <v>1590</v>
      </c>
      <c r="B753" t="s">
        <v>1591</v>
      </c>
      <c r="C753" t="str">
        <f>LEFT(B753,FIND(" ",B753)-1)</f>
        <v>HP</v>
      </c>
      <c r="D753" t="str">
        <f>TRIM(RIGHT(E753,LEN(E753)-FIND("@",SUBSTITUTE(E753,"|","@",LEN(E753)-LEN(SUBSTITUTE(E753,"|",""))))))</f>
        <v>Mice</v>
      </c>
      <c r="E753" t="s">
        <v>1192</v>
      </c>
      <c r="F753">
        <v>899</v>
      </c>
      <c r="G753" s="1">
        <v>1499</v>
      </c>
      <c r="H753" s="6">
        <v>4</v>
      </c>
      <c r="I753">
        <v>4.2</v>
      </c>
      <c r="J753" s="1">
        <v>23174</v>
      </c>
    </row>
    <row r="754" spans="1:10">
      <c r="A754" t="s">
        <v>1592</v>
      </c>
      <c r="B754" t="s">
        <v>1593</v>
      </c>
      <c r="C754" t="str">
        <f>LEFT(B754,FIND(" ",B754)-1)</f>
        <v>MAONO</v>
      </c>
      <c r="D754" t="str">
        <f>TRIM(RIGHT(E754,LEN(E754)-FIND("@",SUBSTITUTE(E754,"|","@",LEN(E754)-LEN(SUBSTITUTE(E754,"|",""))))))</f>
        <v>Condenser</v>
      </c>
      <c r="E754" t="s">
        <v>1233</v>
      </c>
      <c r="F754">
        <v>478</v>
      </c>
      <c r="G754">
        <v>699</v>
      </c>
      <c r="H754" s="6">
        <v>32</v>
      </c>
      <c r="I754">
        <v>3.8</v>
      </c>
      <c r="J754" s="1">
        <v>20218</v>
      </c>
    </row>
    <row r="755" spans="1:10">
      <c r="A755" t="s">
        <v>1594</v>
      </c>
      <c r="B755" t="s">
        <v>1595</v>
      </c>
      <c r="C755" t="str">
        <f>LEFT(B755,FIND(" ",B755)-1)</f>
        <v>TABLE</v>
      </c>
      <c r="D755" t="str">
        <f>TRIM(RIGHT(E755,LEN(E755)-FIND("@",SUBSTITUTE(E755,"|","@",LEN(E755)-LEN(SUBSTITUTE(E755,"|",""))))))</f>
        <v>LaptopAccessories</v>
      </c>
      <c r="E755" t="s">
        <v>1596</v>
      </c>
      <c r="F755" s="1">
        <v>1399</v>
      </c>
      <c r="G755" s="1">
        <v>2490</v>
      </c>
      <c r="H755" s="6">
        <v>44</v>
      </c>
      <c r="I755">
        <v>4.3</v>
      </c>
      <c r="J755" s="1">
        <v>11074</v>
      </c>
    </row>
    <row r="756" spans="1:10">
      <c r="A756" t="s">
        <v>1597</v>
      </c>
      <c r="B756" t="s">
        <v>1598</v>
      </c>
      <c r="C756" t="str">
        <f>LEFT(B756,FIND(" ",B756)-1)</f>
        <v>GIZGA</v>
      </c>
      <c r="D756" t="str">
        <f>TRIM(RIGHT(E756,LEN(E756)-FIND("@",SUBSTITUTE(E756,"|","@",LEN(E756)-LEN(SUBSTITUTE(E756,"|",""))))))</f>
        <v>Stands</v>
      </c>
      <c r="E756" t="s">
        <v>1599</v>
      </c>
      <c r="F756">
        <v>149</v>
      </c>
      <c r="G756">
        <v>499</v>
      </c>
      <c r="H756" s="6">
        <v>7</v>
      </c>
      <c r="I756">
        <v>4.0999999999999996</v>
      </c>
      <c r="J756" s="1">
        <v>25607</v>
      </c>
    </row>
    <row r="757" spans="1:10">
      <c r="A757" t="s">
        <v>1600</v>
      </c>
      <c r="B757" t="s">
        <v>1601</v>
      </c>
      <c r="C757" t="str">
        <f>LEFT(B757,FIND(" ",B757)-1)</f>
        <v>boAt</v>
      </c>
      <c r="D757" t="str">
        <f>TRIM(RIGHT(E757,LEN(E757)-FIND("@",SUBSTITUTE(E757,"|","@",LEN(E757)-LEN(SUBSTITUTE(E757,"|",""))))))</f>
        <v>BluetoothSpeakers</v>
      </c>
      <c r="E757" t="s">
        <v>1345</v>
      </c>
      <c r="F757" s="1">
        <v>1799</v>
      </c>
      <c r="G757" s="1">
        <v>4990</v>
      </c>
      <c r="H757" s="6">
        <v>64</v>
      </c>
      <c r="I757">
        <v>4.2</v>
      </c>
      <c r="J757" s="1">
        <v>41226</v>
      </c>
    </row>
    <row r="758" spans="1:10">
      <c r="A758" t="s">
        <v>1602</v>
      </c>
      <c r="B758" t="s">
        <v>1603</v>
      </c>
      <c r="C758" t="str">
        <f>LEFT(B758,FIND(" ",B758)-1)</f>
        <v>ESnipe</v>
      </c>
      <c r="D758" t="str">
        <f>TRIM(RIGHT(E758,LEN(E758)-FIND("@",SUBSTITUTE(E758,"|","@",LEN(E758)-LEN(SUBSTITUTE(E758,"|",""))))))</f>
        <v>Adapters&amp;Multi-Outlets</v>
      </c>
      <c r="E758" t="s">
        <v>1604</v>
      </c>
      <c r="F758">
        <v>425</v>
      </c>
      <c r="G758">
        <v>999</v>
      </c>
      <c r="H758" s="6">
        <v>57</v>
      </c>
      <c r="I758">
        <v>4</v>
      </c>
      <c r="J758" s="1">
        <v>2581</v>
      </c>
    </row>
    <row r="759" spans="1:10">
      <c r="A759" t="s">
        <v>1605</v>
      </c>
      <c r="B759" t="s">
        <v>1606</v>
      </c>
      <c r="C759" t="str">
        <f>LEFT(B759,FIND(" ",B759)-1)</f>
        <v>boAt</v>
      </c>
      <c r="D759" t="str">
        <f>TRIM(RIGHT(E759,LEN(E759)-FIND("@",SUBSTITUTE(E759,"|","@",LEN(E759)-LEN(SUBSTITUTE(E759,"|",""))))))</f>
        <v>OutdoorSpeakers</v>
      </c>
      <c r="E759" t="s">
        <v>1493</v>
      </c>
      <c r="F759">
        <v>999</v>
      </c>
      <c r="G759" s="1">
        <v>2490</v>
      </c>
      <c r="H759" s="6">
        <v>6</v>
      </c>
      <c r="I759">
        <v>4.0999999999999996</v>
      </c>
      <c r="J759" s="1">
        <v>18331</v>
      </c>
    </row>
    <row r="760" spans="1:10">
      <c r="A760" t="s">
        <v>1607</v>
      </c>
      <c r="B760" t="s">
        <v>1608</v>
      </c>
      <c r="C760" t="str">
        <f>LEFT(B760,FIND(" ",B760)-1)</f>
        <v>Portronics</v>
      </c>
      <c r="D760" t="str">
        <f>TRIM(RIGHT(E760,LEN(E760)-FIND("@",SUBSTITUTE(E760,"|","@",LEN(E760)-LEN(SUBSTITUTE(E760,"|",""))))))</f>
        <v>GraphicTablets</v>
      </c>
      <c r="E760" t="s">
        <v>1195</v>
      </c>
      <c r="F760">
        <v>378</v>
      </c>
      <c r="G760">
        <v>999</v>
      </c>
      <c r="H760" s="6">
        <v>62</v>
      </c>
      <c r="I760">
        <v>4.0999999999999996</v>
      </c>
      <c r="J760" s="1">
        <v>1779</v>
      </c>
    </row>
    <row r="761" spans="1:10">
      <c r="A761" t="s">
        <v>1609</v>
      </c>
      <c r="B761" t="s">
        <v>1610</v>
      </c>
      <c r="C761" t="str">
        <f>LEFT(B761,FIND(" ",B761)-1)</f>
        <v>BRUSTRO</v>
      </c>
      <c r="D761" t="str">
        <f>TRIM(RIGHT(E761,LEN(E761)-FIND("@",SUBSTITUTE(E761,"|","@",LEN(E761)-LEN(SUBSTITUTE(E761,"|",""))))))</f>
        <v>ColouredPaper</v>
      </c>
      <c r="E761" t="s">
        <v>1611</v>
      </c>
      <c r="F761">
        <v>99</v>
      </c>
      <c r="G761">
        <v>99</v>
      </c>
      <c r="H761" s="6">
        <v>0</v>
      </c>
      <c r="I761">
        <v>4.3</v>
      </c>
      <c r="J761">
        <v>388</v>
      </c>
    </row>
    <row r="762" spans="1:10">
      <c r="A762" t="s">
        <v>1612</v>
      </c>
      <c r="B762" t="s">
        <v>1613</v>
      </c>
      <c r="C762" t="str">
        <f>LEFT(B762,FIND(" ",B762)-1)</f>
        <v>Cuzor</v>
      </c>
      <c r="D762" t="str">
        <f>TRIM(RIGHT(E762,LEN(E762)-FIND("@",SUBSTITUTE(E762,"|","@",LEN(E762)-LEN(SUBSTITUTE(E762,"|",""))))))</f>
        <v>Routers</v>
      </c>
      <c r="E762" t="s">
        <v>1328</v>
      </c>
      <c r="F762" s="1">
        <v>1499</v>
      </c>
      <c r="G762" s="1">
        <v>2999</v>
      </c>
      <c r="H762" s="6">
        <v>5</v>
      </c>
      <c r="I762">
        <v>4.5</v>
      </c>
      <c r="J762" s="1">
        <v>8656</v>
      </c>
    </row>
    <row r="763" spans="1:10">
      <c r="A763" t="s">
        <v>1614</v>
      </c>
      <c r="B763" t="s">
        <v>1615</v>
      </c>
      <c r="C763" t="str">
        <f>LEFT(B763,FIND(" ",B763)-1)</f>
        <v>Crucial</v>
      </c>
      <c r="D763" t="str">
        <f>TRIM(RIGHT(E763,LEN(E763)-FIND("@",SUBSTITUTE(E763,"|","@",LEN(E763)-LEN(SUBSTITUTE(E763,"|",""))))))</f>
        <v>InternalSolidStateDrives</v>
      </c>
      <c r="E763" t="s">
        <v>1616</v>
      </c>
      <c r="F763" s="1">
        <v>1815</v>
      </c>
      <c r="G763" s="1">
        <v>3100</v>
      </c>
      <c r="H763" s="6">
        <v>41</v>
      </c>
      <c r="I763">
        <v>4.5</v>
      </c>
      <c r="J763" s="1">
        <v>92925</v>
      </c>
    </row>
    <row r="764" spans="1:10">
      <c r="A764" t="s">
        <v>1617</v>
      </c>
      <c r="B764" t="s">
        <v>1618</v>
      </c>
      <c r="C764" t="str">
        <f>LEFT(B764,FIND(" ",B764)-1)</f>
        <v>Classmate</v>
      </c>
      <c r="D764" t="str">
        <f>TRIM(RIGHT(E764,LEN(E764)-FIND("@",SUBSTITUTE(E764,"|","@",LEN(E764)-LEN(SUBSTITUTE(E764,"|",""))))))</f>
        <v>CompositionNotebooks</v>
      </c>
      <c r="E764" t="s">
        <v>1514</v>
      </c>
      <c r="F764">
        <v>67</v>
      </c>
      <c r="G764">
        <v>75</v>
      </c>
      <c r="H764" s="6">
        <v>11</v>
      </c>
      <c r="I764">
        <v>4.0999999999999996</v>
      </c>
      <c r="J764" s="1">
        <v>1269</v>
      </c>
    </row>
    <row r="765" spans="1:10">
      <c r="A765" t="s">
        <v>1619</v>
      </c>
      <c r="B765" t="s">
        <v>1620</v>
      </c>
      <c r="C765" t="str">
        <f>LEFT(B765,FIND(" ",B765)-1)</f>
        <v>Portronics</v>
      </c>
      <c r="D765" t="str">
        <f>TRIM(RIGHT(E765,LEN(E765)-FIND("@",SUBSTITUTE(E765,"|","@",LEN(E765)-LEN(SUBSTITUTE(E765,"|",""))))))</f>
        <v>Lapdesks</v>
      </c>
      <c r="E765" t="s">
        <v>1201</v>
      </c>
      <c r="F765" s="1">
        <v>1889</v>
      </c>
      <c r="G765" s="1">
        <v>2699</v>
      </c>
      <c r="H765" s="6">
        <v>3</v>
      </c>
      <c r="I765">
        <v>4.3</v>
      </c>
      <c r="J765" s="1">
        <v>17394</v>
      </c>
    </row>
    <row r="766" spans="1:10">
      <c r="A766" t="s">
        <v>1621</v>
      </c>
      <c r="B766" t="s">
        <v>1622</v>
      </c>
      <c r="C766" t="str">
        <f>LEFT(B766,FIND(" ",B766)-1)</f>
        <v>ZEBRONICS</v>
      </c>
      <c r="D766" t="str">
        <f>TRIM(RIGHT(E766,LEN(E766)-FIND("@",SUBSTITUTE(E766,"|","@",LEN(E766)-LEN(SUBSTITUTE(E766,"|",""))))))</f>
        <v>In-Ear</v>
      </c>
      <c r="E766" t="s">
        <v>747</v>
      </c>
      <c r="F766">
        <v>499</v>
      </c>
      <c r="G766" s="1">
        <v>1499</v>
      </c>
      <c r="H766" s="6">
        <v>67</v>
      </c>
      <c r="I766">
        <v>3.6</v>
      </c>
      <c r="J766" s="1">
        <v>9169</v>
      </c>
    </row>
    <row r="767" spans="1:10">
      <c r="A767" t="s">
        <v>1623</v>
      </c>
      <c r="B767" t="s">
        <v>1624</v>
      </c>
      <c r="C767" t="str">
        <f>LEFT(B767,FIND(" ",B767)-1)</f>
        <v>INOVERA</v>
      </c>
      <c r="D767" t="str">
        <f>TRIM(RIGHT(E767,LEN(E767)-FIND("@",SUBSTITUTE(E767,"|","@",LEN(E767)-LEN(SUBSTITUTE(E767,"|",""))))))</f>
        <v>MousePads</v>
      </c>
      <c r="E767" t="s">
        <v>1307</v>
      </c>
      <c r="F767">
        <v>499</v>
      </c>
      <c r="G767">
        <v>999</v>
      </c>
      <c r="H767" s="6">
        <v>5</v>
      </c>
      <c r="I767">
        <v>4.4000000000000004</v>
      </c>
      <c r="J767" s="1">
        <v>1030</v>
      </c>
    </row>
    <row r="768" spans="1:10">
      <c r="A768" t="s">
        <v>1625</v>
      </c>
      <c r="B768" t="s">
        <v>1626</v>
      </c>
      <c r="C768" t="str">
        <f>LEFT(B768,FIND(" ",B768)-1)</f>
        <v>Seagate</v>
      </c>
      <c r="D768" t="str">
        <f>TRIM(RIGHT(E768,LEN(E768)-FIND("@",SUBSTITUTE(E768,"|","@",LEN(E768)-LEN(SUBSTITUTE(E768,"|",""))))))</f>
        <v>ExternalHardDisks</v>
      </c>
      <c r="E768" t="s">
        <v>1252</v>
      </c>
      <c r="F768" s="1">
        <v>5799</v>
      </c>
      <c r="G768" s="1">
        <v>7999</v>
      </c>
      <c r="H768" s="6">
        <v>28</v>
      </c>
      <c r="I768">
        <v>4.5</v>
      </c>
      <c r="J768" s="1">
        <v>50273</v>
      </c>
    </row>
    <row r="769" spans="1:10">
      <c r="A769" t="s">
        <v>1627</v>
      </c>
      <c r="B769" t="s">
        <v>1628</v>
      </c>
      <c r="C769" t="str">
        <f>LEFT(B769,FIND(" ",B769)-1)</f>
        <v>ZEBRONICS</v>
      </c>
      <c r="D769" t="str">
        <f>TRIM(RIGHT(E769,LEN(E769)-FIND("@",SUBSTITUTE(E769,"|","@",LEN(E769)-LEN(SUBSTITUTE(E769,"|",""))))))</f>
        <v>MultimediaSpeakerSystems</v>
      </c>
      <c r="E769" t="s">
        <v>1629</v>
      </c>
      <c r="F769">
        <v>499</v>
      </c>
      <c r="G769">
        <v>799</v>
      </c>
      <c r="H769" s="6">
        <v>38</v>
      </c>
      <c r="I769">
        <v>3.9</v>
      </c>
      <c r="J769" s="1">
        <v>6742</v>
      </c>
    </row>
    <row r="770" spans="1:10">
      <c r="A770" t="s">
        <v>1630</v>
      </c>
      <c r="B770" t="s">
        <v>1631</v>
      </c>
      <c r="C770" t="str">
        <f>LEFT(B770,FIND(" ",B770)-1)</f>
        <v>TVARA</v>
      </c>
      <c r="D770" t="str">
        <f>TRIM(RIGHT(E770,LEN(E770)-FIND("@",SUBSTITUTE(E770,"|","@",LEN(E770)-LEN(SUBSTITUTE(E770,"|",""))))))</f>
        <v>GraphicTablets</v>
      </c>
      <c r="E770" t="s">
        <v>1195</v>
      </c>
      <c r="F770">
        <v>249</v>
      </c>
      <c r="G770">
        <v>600</v>
      </c>
      <c r="H770" s="6">
        <v>59</v>
      </c>
      <c r="I770">
        <v>4</v>
      </c>
      <c r="J770" s="1">
        <v>1208</v>
      </c>
    </row>
    <row r="771" spans="1:10">
      <c r="A771" t="s">
        <v>89</v>
      </c>
      <c r="B771" t="s">
        <v>90</v>
      </c>
      <c r="C771" t="str">
        <f>LEFT(B771,FIND(" ",B771)-1)</f>
        <v>Ambrane</v>
      </c>
      <c r="D771" t="str">
        <f>TRIM(RIGHT(E771,LEN(E771)-FIND("@",SUBSTITUTE(E771,"|","@",LEN(E771)-LEN(SUBSTITUTE(E771,"|",""))))))</f>
        <v>USBCables</v>
      </c>
      <c r="E771" t="s">
        <v>23</v>
      </c>
      <c r="F771">
        <v>179</v>
      </c>
      <c r="G771">
        <v>499</v>
      </c>
      <c r="H771" s="6">
        <v>64</v>
      </c>
      <c r="I771">
        <v>4</v>
      </c>
      <c r="J771" s="1">
        <v>1933</v>
      </c>
    </row>
    <row r="772" spans="1:10">
      <c r="A772" t="s">
        <v>1632</v>
      </c>
      <c r="B772" t="s">
        <v>1633</v>
      </c>
      <c r="C772" t="str">
        <f>LEFT(B772,FIND(" ",B772)-1)</f>
        <v>Western</v>
      </c>
      <c r="D772" t="str">
        <f>TRIM(RIGHT(E772,LEN(E772)-FIND("@",SUBSTITUTE(E772,"|","@",LEN(E772)-LEN(SUBSTITUTE(E772,"|",""))))))</f>
        <v>ExternalHardDisks</v>
      </c>
      <c r="E772" t="s">
        <v>1252</v>
      </c>
      <c r="F772" s="1">
        <v>4449</v>
      </c>
      <c r="G772" s="1">
        <v>5734</v>
      </c>
      <c r="H772" s="6">
        <v>22</v>
      </c>
      <c r="I772">
        <v>4.4000000000000004</v>
      </c>
      <c r="J772" s="1">
        <v>25006</v>
      </c>
    </row>
    <row r="773" spans="1:10">
      <c r="A773" t="s">
        <v>1634</v>
      </c>
      <c r="B773" t="s">
        <v>1635</v>
      </c>
      <c r="C773" t="str">
        <f>LEFT(B773,FIND(" ",B773)-1)</f>
        <v>Redgear</v>
      </c>
      <c r="D773" t="str">
        <f>TRIM(RIGHT(E773,LEN(E773)-FIND("@",SUBSTITUTE(E773,"|","@",LEN(E773)-LEN(SUBSTITUTE(E773,"|",""))))))</f>
        <v>Gamepads</v>
      </c>
      <c r="E773" t="s">
        <v>1452</v>
      </c>
      <c r="F773">
        <v>299</v>
      </c>
      <c r="G773">
        <v>550</v>
      </c>
      <c r="H773" s="6">
        <v>46</v>
      </c>
      <c r="I773">
        <v>4.5999999999999996</v>
      </c>
      <c r="J773" s="1">
        <v>33434</v>
      </c>
    </row>
    <row r="774" spans="1:10">
      <c r="A774" t="s">
        <v>1636</v>
      </c>
      <c r="B774" t="s">
        <v>1637</v>
      </c>
      <c r="C774" t="str">
        <f>LEFT(B774,FIND(" ",B774)-1)</f>
        <v>Lenovo</v>
      </c>
      <c r="D774" t="str">
        <f>TRIM(RIGHT(E774,LEN(E774)-FIND("@",SUBSTITUTE(E774,"|","@",LEN(E774)-LEN(SUBSTITUTE(E774,"|",""))))))</f>
        <v>Mice</v>
      </c>
      <c r="E774" t="s">
        <v>1192</v>
      </c>
      <c r="F774">
        <v>629</v>
      </c>
      <c r="G774" s="1">
        <v>1390</v>
      </c>
      <c r="H774" s="6">
        <v>55</v>
      </c>
      <c r="I774">
        <v>4.4000000000000004</v>
      </c>
      <c r="J774" s="1">
        <v>6301</v>
      </c>
    </row>
    <row r="775" spans="1:10">
      <c r="A775" t="s">
        <v>1638</v>
      </c>
      <c r="B775" t="s">
        <v>1639</v>
      </c>
      <c r="C775" t="str">
        <f>LEFT(B775,FIND(" ",B775)-1)</f>
        <v>Logitech</v>
      </c>
      <c r="D775" t="str">
        <f>TRIM(RIGHT(E775,LEN(E775)-FIND("@",SUBSTITUTE(E775,"|","@",LEN(E775)-LEN(SUBSTITUTE(E775,"|",""))))))</f>
        <v>Keyboards</v>
      </c>
      <c r="E775" t="s">
        <v>1228</v>
      </c>
      <c r="F775" s="1">
        <v>2595</v>
      </c>
      <c r="G775" s="1">
        <v>3295</v>
      </c>
      <c r="H775" s="6">
        <v>21</v>
      </c>
      <c r="I775">
        <v>4.4000000000000004</v>
      </c>
      <c r="J775" s="1">
        <v>22618</v>
      </c>
    </row>
    <row r="776" spans="1:10">
      <c r="A776" t="s">
        <v>1640</v>
      </c>
      <c r="B776" t="s">
        <v>1641</v>
      </c>
      <c r="C776" t="str">
        <f>LEFT(B776,FIND(" ",B776)-1)</f>
        <v>RESONATE</v>
      </c>
      <c r="D776" t="str">
        <f>TRIM(RIGHT(E776,LEN(E776)-FIND("@",SUBSTITUTE(E776,"|","@",LEN(E776)-LEN(SUBSTITUTE(E776,"|",""))))))</f>
        <v>Routers</v>
      </c>
      <c r="E776" t="s">
        <v>1328</v>
      </c>
      <c r="F776" s="1">
        <v>1799</v>
      </c>
      <c r="G776" s="1">
        <v>2911</v>
      </c>
      <c r="H776" s="6">
        <v>38</v>
      </c>
      <c r="I776">
        <v>4.3</v>
      </c>
      <c r="J776" s="1">
        <v>20342</v>
      </c>
    </row>
    <row r="777" spans="1:10">
      <c r="A777" t="s">
        <v>1642</v>
      </c>
      <c r="B777" t="s">
        <v>1643</v>
      </c>
      <c r="C777" t="str">
        <f>LEFT(B777,FIND(" ",B777)-1)</f>
        <v>3M</v>
      </c>
      <c r="D777" t="str">
        <f>TRIM(RIGHT(E777,LEN(E777)-FIND("@",SUBSTITUTE(E777,"|","@",LEN(E777)-LEN(SUBSTITUTE(E777,"|",""))))))</f>
        <v>Notepads&amp;MemoBooks</v>
      </c>
      <c r="E777" t="s">
        <v>1396</v>
      </c>
      <c r="F777">
        <v>90</v>
      </c>
      <c r="G777">
        <v>175</v>
      </c>
      <c r="H777" s="6">
        <v>49</v>
      </c>
      <c r="I777">
        <v>4.4000000000000004</v>
      </c>
      <c r="J777" s="1">
        <v>7429</v>
      </c>
    </row>
    <row r="778" spans="1:10">
      <c r="A778" t="s">
        <v>1644</v>
      </c>
      <c r="B778" t="s">
        <v>1645</v>
      </c>
      <c r="C778" t="str">
        <f>LEFT(B778,FIND(" ",B778)-1)</f>
        <v>OFIXO</v>
      </c>
      <c r="D778" t="str">
        <f>TRIM(RIGHT(E778,LEN(E778)-FIND("@",SUBSTITUTE(E778,"|","@",LEN(E778)-LEN(SUBSTITUTE(E778,"|",""))))))</f>
        <v>Lapdesks</v>
      </c>
      <c r="E778" t="s">
        <v>1201</v>
      </c>
      <c r="F778">
        <v>599</v>
      </c>
      <c r="G778">
        <v>599</v>
      </c>
      <c r="H778" s="6">
        <v>0</v>
      </c>
      <c r="I778">
        <v>4</v>
      </c>
      <c r="J778" s="1">
        <v>26423</v>
      </c>
    </row>
    <row r="779" spans="1:10">
      <c r="A779" t="s">
        <v>1646</v>
      </c>
      <c r="B779" t="s">
        <v>1647</v>
      </c>
      <c r="C779" t="str">
        <f>LEFT(B779,FIND(" ",B779)-1)</f>
        <v>Fire-Boltt</v>
      </c>
      <c r="D779" t="str">
        <f>TRIM(RIGHT(E779,LEN(E779)-FIND("@",SUBSTITUTE(E779,"|","@",LEN(E779)-LEN(SUBSTITUTE(E779,"|",""))))))</f>
        <v>SmartWatches</v>
      </c>
      <c r="E779" t="s">
        <v>714</v>
      </c>
      <c r="F779" s="1">
        <v>1999</v>
      </c>
      <c r="G779" s="1">
        <v>7999</v>
      </c>
      <c r="H779" s="6">
        <v>75</v>
      </c>
      <c r="I779">
        <v>4.2</v>
      </c>
      <c r="J779" s="1">
        <v>31305</v>
      </c>
    </row>
    <row r="780" spans="1:10">
      <c r="A780" t="s">
        <v>1648</v>
      </c>
      <c r="B780" t="s">
        <v>1649</v>
      </c>
      <c r="C780" t="str">
        <f>LEFT(B780,FIND(" ",B780)-1)</f>
        <v>Airtel</v>
      </c>
      <c r="D780" t="str">
        <f>TRIM(RIGHT(E780,LEN(E780)-FIND("@",SUBSTITUTE(E780,"|","@",LEN(E780)-LEN(SUBSTITUTE(E780,"|",""))))))</f>
        <v>DataCards&amp;Dongles</v>
      </c>
      <c r="E780" t="s">
        <v>1650</v>
      </c>
      <c r="F780" s="1">
        <v>2099</v>
      </c>
      <c r="G780" s="1">
        <v>3250</v>
      </c>
      <c r="H780" s="6">
        <v>35</v>
      </c>
      <c r="I780">
        <v>3.8</v>
      </c>
      <c r="J780" s="1">
        <v>11213</v>
      </c>
    </row>
    <row r="781" spans="1:10">
      <c r="A781" t="s">
        <v>1651</v>
      </c>
      <c r="B781" t="s">
        <v>1652</v>
      </c>
      <c r="C781" t="str">
        <f>LEFT(B781,FIND(" ",B781)-1)</f>
        <v>Gizga</v>
      </c>
      <c r="D781" t="str">
        <f>TRIM(RIGHT(E781,LEN(E781)-FIND("@",SUBSTITUTE(E781,"|","@",LEN(E781)-LEN(SUBSTITUTE(E781,"|",""))))))</f>
        <v>LaptopChargers&amp;PowerSupplies</v>
      </c>
      <c r="E781" t="s">
        <v>1653</v>
      </c>
      <c r="F781">
        <v>179</v>
      </c>
      <c r="G781">
        <v>499</v>
      </c>
      <c r="H781" s="6">
        <v>64</v>
      </c>
      <c r="I781">
        <v>4.0999999999999996</v>
      </c>
      <c r="J781" s="1">
        <v>10174</v>
      </c>
    </row>
    <row r="782" spans="1:10">
      <c r="A782" t="s">
        <v>1654</v>
      </c>
      <c r="B782" t="s">
        <v>1655</v>
      </c>
      <c r="C782" t="str">
        <f>LEFT(B782,FIND(" ",B782)-1)</f>
        <v>Logitech</v>
      </c>
      <c r="D782" t="str">
        <f>TRIM(RIGHT(E782,LEN(E782)-FIND("@",SUBSTITUTE(E782,"|","@",LEN(E782)-LEN(SUBSTITUTE(E782,"|",""))))))</f>
        <v>Keyboard&amp;MouseSets</v>
      </c>
      <c r="E782" t="s">
        <v>1249</v>
      </c>
      <c r="F782" s="1">
        <v>1345</v>
      </c>
      <c r="G782" s="1">
        <v>2295</v>
      </c>
      <c r="H782" s="6">
        <v>41</v>
      </c>
      <c r="I782">
        <v>4.2</v>
      </c>
      <c r="J782" s="1">
        <v>17413</v>
      </c>
    </row>
    <row r="783" spans="1:10">
      <c r="A783" t="s">
        <v>1656</v>
      </c>
      <c r="B783" t="s">
        <v>1657</v>
      </c>
      <c r="C783" t="str">
        <f>LEFT(B783,FIND(" ",B783)-1)</f>
        <v>DIGITEKÂ®</v>
      </c>
      <c r="D783" t="str">
        <f>TRIM(RIGHT(E783,LEN(E783)-FIND("@",SUBSTITUTE(E783,"|","@",LEN(E783)-LEN(SUBSTITUTE(E783,"|",""))))))</f>
        <v>TripodLegs</v>
      </c>
      <c r="E783" t="s">
        <v>1281</v>
      </c>
      <c r="F783">
        <v>349</v>
      </c>
      <c r="G783">
        <v>995</v>
      </c>
      <c r="H783" s="6">
        <v>65</v>
      </c>
      <c r="I783">
        <v>4.2</v>
      </c>
      <c r="J783" s="1">
        <v>6676</v>
      </c>
    </row>
    <row r="784" spans="1:10">
      <c r="A784" t="s">
        <v>1658</v>
      </c>
      <c r="B784" t="s">
        <v>1659</v>
      </c>
      <c r="C784" t="str">
        <f>LEFT(B784,FIND(" ",B784)-1)</f>
        <v>FEDUS</v>
      </c>
      <c r="D784" t="str">
        <f>TRIM(RIGHT(E784,LEN(E784)-FIND("@",SUBSTITUTE(E784,"|","@",LEN(E784)-LEN(SUBSTITUTE(E784,"|",""))))))</f>
        <v>EthernetCables</v>
      </c>
      <c r="E784" t="s">
        <v>1528</v>
      </c>
      <c r="F784">
        <v>287</v>
      </c>
      <c r="G784">
        <v>499</v>
      </c>
      <c r="H784" s="6">
        <v>42</v>
      </c>
      <c r="I784">
        <v>4.4000000000000004</v>
      </c>
      <c r="J784" s="1">
        <v>8076</v>
      </c>
    </row>
    <row r="785" spans="1:10">
      <c r="A785" t="s">
        <v>1660</v>
      </c>
      <c r="B785" t="s">
        <v>1661</v>
      </c>
      <c r="C785" t="str">
        <f>LEFT(B785,FIND(" ",B785)-1)</f>
        <v>Kingston</v>
      </c>
      <c r="D785" t="str">
        <f>TRIM(RIGHT(E785,LEN(E785)-FIND("@",SUBSTITUTE(E785,"|","@",LEN(E785)-LEN(SUBSTITUTE(E785,"|",""))))))</f>
        <v>PenDrives</v>
      </c>
      <c r="E785" t="s">
        <v>1188</v>
      </c>
      <c r="F785">
        <v>349</v>
      </c>
      <c r="G785">
        <v>450</v>
      </c>
      <c r="H785" s="6">
        <v>22</v>
      </c>
      <c r="I785">
        <v>4.0999999999999996</v>
      </c>
      <c r="J785" s="1">
        <v>18656</v>
      </c>
    </row>
    <row r="786" spans="1:10">
      <c r="A786" t="s">
        <v>1662</v>
      </c>
      <c r="B786" t="s">
        <v>1663</v>
      </c>
      <c r="C786" t="str">
        <f>LEFT(B786,FIND(" ",B786)-1)</f>
        <v>Duracell</v>
      </c>
      <c r="D786" t="str">
        <f>TRIM(RIGHT(E786,LEN(E786)-FIND("@",SUBSTITUTE(E786,"|","@",LEN(E786)-LEN(SUBSTITUTE(E786,"|",""))))))</f>
        <v>DisposableBatteries</v>
      </c>
      <c r="E786" t="s">
        <v>1236</v>
      </c>
      <c r="F786">
        <v>879</v>
      </c>
      <c r="G786" s="1">
        <v>1109</v>
      </c>
      <c r="H786" s="6">
        <v>21</v>
      </c>
      <c r="I786">
        <v>4.4000000000000004</v>
      </c>
      <c r="J786" s="1">
        <v>31599</v>
      </c>
    </row>
    <row r="787" spans="1:10">
      <c r="A787" t="s">
        <v>1664</v>
      </c>
      <c r="B787" t="s">
        <v>1665</v>
      </c>
      <c r="C787" t="str">
        <f>LEFT(B787,FIND(" ",B787)-1)</f>
        <v>ENVIEÂ®</v>
      </c>
      <c r="D787" t="str">
        <f>TRIM(RIGHT(E787,LEN(E787)-FIND("@",SUBSTITUTE(E787,"|","@",LEN(E787)-LEN(SUBSTITUTE(E787,"|",""))))))</f>
        <v>RechargeableBatteries</v>
      </c>
      <c r="E787" t="s">
        <v>1373</v>
      </c>
      <c r="F787">
        <v>250</v>
      </c>
      <c r="G787">
        <v>250</v>
      </c>
      <c r="H787" s="6">
        <v>0</v>
      </c>
      <c r="I787">
        <v>3.9</v>
      </c>
      <c r="J787" s="1">
        <v>13971</v>
      </c>
    </row>
    <row r="788" spans="1:10">
      <c r="A788" t="s">
        <v>1666</v>
      </c>
      <c r="B788" t="s">
        <v>1667</v>
      </c>
      <c r="C788" t="str">
        <f>LEFT(B788,FIND(" ",B788)-1)</f>
        <v>ZEBRONICS</v>
      </c>
      <c r="D788" t="str">
        <f>TRIM(RIGHT(E788,LEN(E788)-FIND("@",SUBSTITUTE(E788,"|","@",LEN(E788)-LEN(SUBSTITUTE(E788,"|",""))))))</f>
        <v>In-Ear</v>
      </c>
      <c r="E788" t="s">
        <v>747</v>
      </c>
      <c r="F788">
        <v>199</v>
      </c>
      <c r="G788">
        <v>499</v>
      </c>
      <c r="H788" s="6">
        <v>6</v>
      </c>
      <c r="I788">
        <v>3.6</v>
      </c>
      <c r="J788" s="1">
        <v>2492</v>
      </c>
    </row>
    <row r="789" spans="1:10">
      <c r="A789" t="s">
        <v>101</v>
      </c>
      <c r="B789" t="s">
        <v>102</v>
      </c>
      <c r="C789" t="str">
        <f>LEFT(B789,FIND(" ",B789)-1)</f>
        <v>Sounce</v>
      </c>
      <c r="D789" t="str">
        <f>TRIM(RIGHT(E789,LEN(E789)-FIND("@",SUBSTITUTE(E789,"|","@",LEN(E789)-LEN(SUBSTITUTE(E789,"|",""))))))</f>
        <v>USBCables</v>
      </c>
      <c r="E789" t="s">
        <v>23</v>
      </c>
      <c r="F789">
        <v>199</v>
      </c>
      <c r="G789">
        <v>999</v>
      </c>
      <c r="H789" s="6">
        <v>8</v>
      </c>
      <c r="I789">
        <v>4</v>
      </c>
      <c r="J789">
        <v>575</v>
      </c>
    </row>
    <row r="790" spans="1:10">
      <c r="A790" t="s">
        <v>1668</v>
      </c>
      <c r="B790" t="s">
        <v>1669</v>
      </c>
      <c r="C790" t="str">
        <f>LEFT(B790,FIND(" ",B790)-1)</f>
        <v>LAPSTER</v>
      </c>
      <c r="D790" t="str">
        <f>TRIM(RIGHT(E790,LEN(E790)-FIND("@",SUBSTITUTE(E790,"|","@",LEN(E790)-LEN(SUBSTITUTE(E790,"|",""))))))</f>
        <v>LaptopChargers&amp;PowerSupplies</v>
      </c>
      <c r="E790" t="s">
        <v>1653</v>
      </c>
      <c r="F790">
        <v>149</v>
      </c>
      <c r="G790">
        <v>999</v>
      </c>
      <c r="H790" s="6">
        <v>85</v>
      </c>
      <c r="I790">
        <v>3.5</v>
      </c>
      <c r="J790" s="1">
        <v>2523</v>
      </c>
    </row>
    <row r="791" spans="1:10">
      <c r="A791" t="s">
        <v>1670</v>
      </c>
      <c r="B791" t="s">
        <v>1671</v>
      </c>
      <c r="C791" t="str">
        <f>LEFT(B791,FIND(" ",B791)-1)</f>
        <v>Portronics</v>
      </c>
      <c r="D791" t="str">
        <f>TRIM(RIGHT(E791,LEN(E791)-FIND("@",SUBSTITUTE(E791,"|","@",LEN(E791)-LEN(SUBSTITUTE(E791,"|",""))))))</f>
        <v>GraphicTablets</v>
      </c>
      <c r="E791" t="s">
        <v>1195</v>
      </c>
      <c r="F791">
        <v>469</v>
      </c>
      <c r="G791" s="1">
        <v>1499</v>
      </c>
      <c r="H791" s="6">
        <v>69</v>
      </c>
      <c r="I791">
        <v>4.0999999999999996</v>
      </c>
      <c r="J791">
        <v>352</v>
      </c>
    </row>
    <row r="792" spans="1:10">
      <c r="A792" t="s">
        <v>1672</v>
      </c>
      <c r="B792" t="s">
        <v>1673</v>
      </c>
      <c r="C792" t="str">
        <f>LEFT(B792,FIND(" ",B792)-1)</f>
        <v>VeriluxÂ®</v>
      </c>
      <c r="D792" t="str">
        <f>TRIM(RIGHT(E792,LEN(E792)-FIND("@",SUBSTITUTE(E792,"|","@",LEN(E792)-LEN(SUBSTITUTE(E792,"|",""))))))</f>
        <v>USBHubs</v>
      </c>
      <c r="E792" t="s">
        <v>1473</v>
      </c>
      <c r="F792" s="1">
        <v>1187</v>
      </c>
      <c r="G792" s="1">
        <v>1929</v>
      </c>
      <c r="H792" s="6">
        <v>38</v>
      </c>
      <c r="I792">
        <v>4.0999999999999996</v>
      </c>
      <c r="J792" s="1">
        <v>1662</v>
      </c>
    </row>
    <row r="793" spans="1:10">
      <c r="A793" t="s">
        <v>1674</v>
      </c>
      <c r="B793" t="s">
        <v>1675</v>
      </c>
      <c r="C793" t="str">
        <f>LEFT(B793,FIND(" ",B793)-1)</f>
        <v>Zebronics</v>
      </c>
      <c r="D793" t="str">
        <f>TRIM(RIGHT(E793,LEN(E793)-FIND("@",SUBSTITUTE(E793,"|","@",LEN(E793)-LEN(SUBSTITUTE(E793,"|",""))))))</f>
        <v>PCSpeakers</v>
      </c>
      <c r="E793" t="s">
        <v>1676</v>
      </c>
      <c r="F793">
        <v>849</v>
      </c>
      <c r="G793" s="1">
        <v>1499</v>
      </c>
      <c r="H793" s="6">
        <v>43</v>
      </c>
      <c r="I793">
        <v>4</v>
      </c>
      <c r="J793" s="1">
        <v>7352</v>
      </c>
    </row>
    <row r="794" spans="1:10">
      <c r="A794" t="s">
        <v>1677</v>
      </c>
      <c r="B794" t="s">
        <v>1678</v>
      </c>
      <c r="C794" t="str">
        <f>LEFT(B794,FIND(" ",B794)-1)</f>
        <v>HP</v>
      </c>
      <c r="D794" t="str">
        <f>TRIM(RIGHT(E794,LEN(E794)-FIND("@",SUBSTITUTE(E794,"|","@",LEN(E794)-LEN(SUBSTITUTE(E794,"|",""))))))</f>
        <v>Mice</v>
      </c>
      <c r="E794" t="s">
        <v>1192</v>
      </c>
      <c r="F794">
        <v>328</v>
      </c>
      <c r="G794">
        <v>399</v>
      </c>
      <c r="H794" s="6">
        <v>18</v>
      </c>
      <c r="I794">
        <v>4.0999999999999996</v>
      </c>
      <c r="J794" s="1">
        <v>3441</v>
      </c>
    </row>
    <row r="795" spans="1:10">
      <c r="A795" t="s">
        <v>1679</v>
      </c>
      <c r="B795" t="s">
        <v>1680</v>
      </c>
      <c r="C795" t="str">
        <f>LEFT(B795,FIND(" ",B795)-1)</f>
        <v>Anjaney</v>
      </c>
      <c r="D795" t="str">
        <f>TRIM(RIGHT(E795,LEN(E795)-FIND("@",SUBSTITUTE(E795,"|","@",LEN(E795)-LEN(SUBSTITUTE(E795,"|",""))))))</f>
        <v>Lapdesks</v>
      </c>
      <c r="E795" t="s">
        <v>1201</v>
      </c>
      <c r="F795">
        <v>269</v>
      </c>
      <c r="G795">
        <v>699</v>
      </c>
      <c r="H795" s="6">
        <v>62</v>
      </c>
      <c r="I795">
        <v>4</v>
      </c>
      <c r="J795">
        <v>93</v>
      </c>
    </row>
    <row r="796" spans="1:10">
      <c r="A796" t="s">
        <v>1681</v>
      </c>
      <c r="B796" t="s">
        <v>1682</v>
      </c>
      <c r="C796" t="str">
        <f>LEFT(B796,FIND(" ",B796)-1)</f>
        <v>ENVIE</v>
      </c>
      <c r="D796" t="str">
        <f>TRIM(RIGHT(E796,LEN(E796)-FIND("@",SUBSTITUTE(E796,"|","@",LEN(E796)-LEN(SUBSTITUTE(E796,"|",""))))))</f>
        <v>BatteryChargers</v>
      </c>
      <c r="E796" t="s">
        <v>1683</v>
      </c>
      <c r="F796">
        <v>299</v>
      </c>
      <c r="G796">
        <v>400</v>
      </c>
      <c r="H796" s="6">
        <v>25</v>
      </c>
      <c r="I796">
        <v>3.8</v>
      </c>
      <c r="J796" s="1">
        <v>40895</v>
      </c>
    </row>
    <row r="797" spans="1:10">
      <c r="A797" t="s">
        <v>1684</v>
      </c>
      <c r="B797" t="s">
        <v>1685</v>
      </c>
      <c r="C797" t="str">
        <f>LEFT(B797,FIND(" ",B797)-1)</f>
        <v>ProElite</v>
      </c>
      <c r="D797" t="str">
        <f>TRIM(RIGHT(E797,LEN(E797)-FIND("@",SUBSTITUTE(E797,"|","@",LEN(E797)-LEN(SUBSTITUTE(E797,"|",""))))))</f>
        <v>Cases</v>
      </c>
      <c r="E797" t="s">
        <v>1686</v>
      </c>
      <c r="F797">
        <v>549</v>
      </c>
      <c r="G797" s="1">
        <v>1499</v>
      </c>
      <c r="H797" s="6">
        <v>63</v>
      </c>
      <c r="I797">
        <v>4.3</v>
      </c>
      <c r="J797" s="1">
        <v>11006</v>
      </c>
    </row>
    <row r="798" spans="1:10">
      <c r="A798" t="s">
        <v>1687</v>
      </c>
      <c r="B798" t="s">
        <v>1688</v>
      </c>
      <c r="C798" t="str">
        <f>LEFT(B798,FIND(" ",B798)-1)</f>
        <v>Classmate</v>
      </c>
      <c r="D798" t="str">
        <f>TRIM(RIGHT(E798,LEN(E798)-FIND("@",SUBSTITUTE(E798,"|","@",LEN(E798)-LEN(SUBSTITUTE(E798,"|",""))))))</f>
        <v>WireboundNotebooks</v>
      </c>
      <c r="E798" t="s">
        <v>1368</v>
      </c>
      <c r="F798">
        <v>114</v>
      </c>
      <c r="G798">
        <v>120</v>
      </c>
      <c r="H798" s="6">
        <v>5</v>
      </c>
      <c r="I798">
        <v>4.2</v>
      </c>
      <c r="J798" s="1">
        <v>8938</v>
      </c>
    </row>
    <row r="799" spans="1:10">
      <c r="A799" t="s">
        <v>1689</v>
      </c>
      <c r="B799" t="s">
        <v>1690</v>
      </c>
      <c r="C799" t="str">
        <f>LEFT(B799,FIND(" ",B799)-1)</f>
        <v>Pentonic</v>
      </c>
      <c r="D799" t="str">
        <f>TRIM(RIGHT(E799,LEN(E799)-FIND("@",SUBSTITUTE(E799,"|","@",LEN(E799)-LEN(SUBSTITUTE(E799,"|",""))))))</f>
        <v>StickBallpointPens</v>
      </c>
      <c r="E799" t="s">
        <v>1691</v>
      </c>
      <c r="F799">
        <v>120</v>
      </c>
      <c r="G799">
        <v>120</v>
      </c>
      <c r="H799" s="6">
        <v>0</v>
      </c>
      <c r="I799">
        <v>4.0999999999999996</v>
      </c>
      <c r="J799" s="1">
        <v>4308</v>
      </c>
    </row>
    <row r="800" spans="1:10">
      <c r="A800" t="s">
        <v>107</v>
      </c>
      <c r="B800" t="s">
        <v>108</v>
      </c>
      <c r="C800" t="str">
        <f>LEFT(B800,FIND(" ",B800)-1)</f>
        <v>AmazonBasics</v>
      </c>
      <c r="D800" t="str">
        <f>TRIM(RIGHT(E800,LEN(E800)-FIND("@",SUBSTITUTE(E800,"|","@",LEN(E800)-LEN(SUBSTITUTE(E800,"|",""))))))</f>
        <v>USBCables</v>
      </c>
      <c r="E800" t="s">
        <v>23</v>
      </c>
      <c r="F800">
        <v>209</v>
      </c>
      <c r="G800">
        <v>695</v>
      </c>
      <c r="H800" s="6">
        <v>7</v>
      </c>
      <c r="I800">
        <v>4.5</v>
      </c>
      <c r="J800" t="s">
        <v>1692</v>
      </c>
    </row>
    <row r="801" spans="1:10">
      <c r="A801" t="s">
        <v>1693</v>
      </c>
      <c r="B801" t="s">
        <v>1694</v>
      </c>
      <c r="C801" t="str">
        <f>LEFT(B801,FIND(" ",B801)-1)</f>
        <v>Logitech</v>
      </c>
      <c r="D801" t="str">
        <f>TRIM(RIGHT(E801,LEN(E801)-FIND("@",SUBSTITUTE(E801,"|","@",LEN(E801)-LEN(SUBSTITUTE(E801,"|",""))))))</f>
        <v>Mice</v>
      </c>
      <c r="E801" t="s">
        <v>1192</v>
      </c>
      <c r="F801" s="1">
        <v>1490</v>
      </c>
      <c r="G801" s="1">
        <v>2295</v>
      </c>
      <c r="H801" s="6">
        <v>35</v>
      </c>
      <c r="I801">
        <v>4.5999999999999996</v>
      </c>
      <c r="J801" s="1">
        <v>10652</v>
      </c>
    </row>
    <row r="802" spans="1:10">
      <c r="A802" t="s">
        <v>1695</v>
      </c>
      <c r="B802" t="s">
        <v>1696</v>
      </c>
      <c r="C802" t="str">
        <f>LEFT(B802,FIND(" ",B802)-1)</f>
        <v>Apsara</v>
      </c>
      <c r="D802" t="str">
        <f>TRIM(RIGHT(E802,LEN(E802)-FIND("@",SUBSTITUTE(E802,"|","@",LEN(E802)-LEN(SUBSTITUTE(E802,"|",""))))))</f>
        <v>WoodenPencils</v>
      </c>
      <c r="E802" t="s">
        <v>1697</v>
      </c>
      <c r="F802">
        <v>99</v>
      </c>
      <c r="G802">
        <v>99</v>
      </c>
      <c r="H802" s="6">
        <v>0</v>
      </c>
      <c r="I802">
        <v>4.3</v>
      </c>
      <c r="J802" s="1">
        <v>5036</v>
      </c>
    </row>
    <row r="803" spans="1:10">
      <c r="A803" t="s">
        <v>1698</v>
      </c>
      <c r="B803" t="s">
        <v>1699</v>
      </c>
      <c r="C803" t="str">
        <f>LEFT(B803,FIND(" ",B803)-1)</f>
        <v>Zebronics</v>
      </c>
      <c r="D803" t="str">
        <f>TRIM(RIGHT(E803,LEN(E803)-FIND("@",SUBSTITUTE(E803,"|","@",LEN(E803)-LEN(SUBSTITUTE(E803,"|",""))))))</f>
        <v>Mice</v>
      </c>
      <c r="E803" t="s">
        <v>1192</v>
      </c>
      <c r="F803">
        <v>149</v>
      </c>
      <c r="G803">
        <v>249</v>
      </c>
      <c r="H803" s="6">
        <v>4</v>
      </c>
      <c r="I803">
        <v>4</v>
      </c>
      <c r="J803" s="1">
        <v>5057</v>
      </c>
    </row>
    <row r="804" spans="1:10">
      <c r="A804" t="s">
        <v>1700</v>
      </c>
      <c r="B804" t="s">
        <v>1701</v>
      </c>
      <c r="C804" t="str">
        <f>LEFT(B804,FIND(" ",B804)-1)</f>
        <v>Ant</v>
      </c>
      <c r="D804" t="str">
        <f>TRIM(RIGHT(E804,LEN(E804)-FIND("@",SUBSTITUTE(E804,"|","@",LEN(E804)-LEN(SUBSTITUTE(E804,"|",""))))))</f>
        <v>GamingMice</v>
      </c>
      <c r="E804" t="s">
        <v>1301</v>
      </c>
      <c r="F804">
        <v>575</v>
      </c>
      <c r="G804" s="1">
        <v>2799</v>
      </c>
      <c r="H804" s="6">
        <v>79</v>
      </c>
      <c r="I804">
        <v>4.2</v>
      </c>
      <c r="J804" s="1">
        <v>8537</v>
      </c>
    </row>
    <row r="805" spans="1:10">
      <c r="A805" t="s">
        <v>1702</v>
      </c>
      <c r="B805" t="s">
        <v>1703</v>
      </c>
      <c r="C805" t="str">
        <f>LEFT(B805,FIND(" ",B805)-1)</f>
        <v>Pilot</v>
      </c>
      <c r="D805" t="str">
        <f>TRIM(RIGHT(E805,LEN(E805)-FIND("@",SUBSTITUTE(E805,"|","@",LEN(E805)-LEN(SUBSTITUTE(E805,"|",""))))))</f>
        <v>RetractableBallpointPens</v>
      </c>
      <c r="E805" t="s">
        <v>1523</v>
      </c>
      <c r="F805">
        <v>178</v>
      </c>
      <c r="G805">
        <v>210</v>
      </c>
      <c r="H805" s="6">
        <v>15</v>
      </c>
      <c r="I805">
        <v>4.3</v>
      </c>
      <c r="J805" s="1">
        <v>2450</v>
      </c>
    </row>
    <row r="806" spans="1:10">
      <c r="A806" t="s">
        <v>1704</v>
      </c>
      <c r="B806" t="s">
        <v>1705</v>
      </c>
      <c r="C806" t="str">
        <f>LEFT(B806,FIND(" ",B806)-1)</f>
        <v>boAt</v>
      </c>
      <c r="D806" t="str">
        <f>TRIM(RIGHT(E806,LEN(E806)-FIND("@",SUBSTITUTE(E806,"|","@",LEN(E806)-LEN(SUBSTITUTE(E806,"|",""))))))</f>
        <v>In-Ear</v>
      </c>
      <c r="E806" t="s">
        <v>747</v>
      </c>
      <c r="F806" s="1">
        <v>1599</v>
      </c>
      <c r="G806" s="1">
        <v>3490</v>
      </c>
      <c r="H806" s="6">
        <v>54</v>
      </c>
      <c r="I806">
        <v>3.7</v>
      </c>
      <c r="J806">
        <v>676</v>
      </c>
    </row>
    <row r="807" spans="1:10">
      <c r="A807" t="s">
        <v>1706</v>
      </c>
      <c r="B807" t="s">
        <v>1707</v>
      </c>
      <c r="C807" t="str">
        <f>LEFT(B807,FIND(" ",B807)-1)</f>
        <v>Boult</v>
      </c>
      <c r="D807" t="str">
        <f>TRIM(RIGHT(E807,LEN(E807)-FIND("@",SUBSTITUTE(E807,"|","@",LEN(E807)-LEN(SUBSTITUTE(E807,"|",""))))))</f>
        <v>In-Ear</v>
      </c>
      <c r="E807" t="s">
        <v>747</v>
      </c>
      <c r="F807">
        <v>499</v>
      </c>
      <c r="G807" s="1">
        <v>1299</v>
      </c>
      <c r="H807" s="6">
        <v>62</v>
      </c>
      <c r="I807">
        <v>3.9</v>
      </c>
      <c r="J807" s="1">
        <v>1173</v>
      </c>
    </row>
    <row r="808" spans="1:10">
      <c r="A808" t="s">
        <v>1708</v>
      </c>
      <c r="B808" t="s">
        <v>1709</v>
      </c>
      <c r="C808" t="str">
        <f>LEFT(B808,FIND(" ",B808)-1)</f>
        <v>IT2M</v>
      </c>
      <c r="D808" t="str">
        <f>TRIM(RIGHT(E808,LEN(E808)-FIND("@",SUBSTITUTE(E808,"|","@",LEN(E808)-LEN(SUBSTITUTE(E808,"|",""))))))</f>
        <v>MousePads</v>
      </c>
      <c r="E808" t="s">
        <v>1307</v>
      </c>
      <c r="F808">
        <v>199</v>
      </c>
      <c r="G808">
        <v>499</v>
      </c>
      <c r="H808" s="6">
        <v>6</v>
      </c>
      <c r="I808">
        <v>4.3</v>
      </c>
      <c r="J808" s="1">
        <v>9998</v>
      </c>
    </row>
    <row r="809" spans="1:10">
      <c r="A809" t="s">
        <v>1710</v>
      </c>
      <c r="B809" t="s">
        <v>1711</v>
      </c>
      <c r="C809" t="str">
        <f>LEFT(B809,FIND(" ",B809)-1)</f>
        <v>Noise</v>
      </c>
      <c r="D809" t="str">
        <f>TRIM(RIGHT(E809,LEN(E809)-FIND("@",SUBSTITUTE(E809,"|","@",LEN(E809)-LEN(SUBSTITUTE(E809,"|",""))))))</f>
        <v>SmartWatches</v>
      </c>
      <c r="E809" t="s">
        <v>714</v>
      </c>
      <c r="F809" s="1">
        <v>2499</v>
      </c>
      <c r="G809" s="1">
        <v>5999</v>
      </c>
      <c r="H809" s="6">
        <v>58</v>
      </c>
      <c r="I809">
        <v>4.0999999999999996</v>
      </c>
      <c r="J809" s="1">
        <v>5852</v>
      </c>
    </row>
    <row r="810" spans="1:10">
      <c r="A810" t="s">
        <v>1712</v>
      </c>
      <c r="B810" t="s">
        <v>1713</v>
      </c>
      <c r="C810" t="str">
        <f>LEFT(B810,FIND(" ",B810)-1)</f>
        <v>Lapster</v>
      </c>
      <c r="D810" t="str">
        <f>TRIM(RIGHT(E810,LEN(E810)-FIND("@",SUBSTITUTE(E810,"|","@",LEN(E810)-LEN(SUBSTITUTE(E810,"|",""))))))</f>
        <v>InternalHardDrives</v>
      </c>
      <c r="E810" t="s">
        <v>1714</v>
      </c>
      <c r="F810">
        <v>199</v>
      </c>
      <c r="G810">
        <v>999</v>
      </c>
      <c r="H810" s="6">
        <v>8</v>
      </c>
      <c r="I810">
        <v>4.2</v>
      </c>
      <c r="J810">
        <v>362</v>
      </c>
    </row>
    <row r="811" spans="1:10">
      <c r="A811" t="s">
        <v>1715</v>
      </c>
      <c r="B811" t="s">
        <v>1716</v>
      </c>
      <c r="C811" t="str">
        <f>LEFT(B811,FIND(" ",B811)-1)</f>
        <v>SanDisk</v>
      </c>
      <c r="D811" t="str">
        <f>TRIM(RIGHT(E811,LEN(E811)-FIND("@",SUBSTITUTE(E811,"|","@",LEN(E811)-LEN(SUBSTITUTE(E811,"|",""))))))</f>
        <v>MicroSD</v>
      </c>
      <c r="E811" t="s">
        <v>736</v>
      </c>
      <c r="F811">
        <v>939</v>
      </c>
      <c r="G811" s="1">
        <v>1800</v>
      </c>
      <c r="H811" s="6">
        <v>48</v>
      </c>
      <c r="I811">
        <v>4.5</v>
      </c>
      <c r="J811" t="s">
        <v>1717</v>
      </c>
    </row>
    <row r="812" spans="1:10">
      <c r="A812" t="s">
        <v>1718</v>
      </c>
      <c r="B812" t="s">
        <v>1719</v>
      </c>
      <c r="C812" t="str">
        <f>LEFT(B812,FIND(" ",B812)-1)</f>
        <v>Fire-Boltt</v>
      </c>
      <c r="D812" t="str">
        <f>TRIM(RIGHT(E812,LEN(E812)-FIND("@",SUBSTITUTE(E812,"|","@",LEN(E812)-LEN(SUBSTITUTE(E812,"|",""))))))</f>
        <v>SmartWatches</v>
      </c>
      <c r="E812" t="s">
        <v>714</v>
      </c>
      <c r="F812" s="1">
        <v>2499</v>
      </c>
      <c r="G812" s="1">
        <v>9999</v>
      </c>
      <c r="H812" s="6">
        <v>75</v>
      </c>
      <c r="I812">
        <v>4</v>
      </c>
      <c r="J812" s="1">
        <v>9090</v>
      </c>
    </row>
    <row r="813" spans="1:10">
      <c r="A813" t="s">
        <v>1720</v>
      </c>
      <c r="B813" t="s">
        <v>1721</v>
      </c>
      <c r="C813" t="str">
        <f>LEFT(B813,FIND(" ",B813)-1)</f>
        <v>Lenovo</v>
      </c>
      <c r="D813" t="str">
        <f>TRIM(RIGHT(E813,LEN(E813)-FIND("@",SUBSTITUTE(E813,"|","@",LEN(E813)-LEN(SUBSTITUTE(E813,"|",""))))))</f>
        <v>Mice</v>
      </c>
      <c r="E813" t="s">
        <v>1192</v>
      </c>
      <c r="F813" s="1">
        <v>1439</v>
      </c>
      <c r="G813" s="1">
        <v>2890</v>
      </c>
      <c r="H813" s="6">
        <v>5</v>
      </c>
      <c r="I813">
        <v>4.5</v>
      </c>
      <c r="J813" s="1">
        <v>4099</v>
      </c>
    </row>
    <row r="814" spans="1:10">
      <c r="A814" t="s">
        <v>1722</v>
      </c>
      <c r="B814" t="s">
        <v>1723</v>
      </c>
      <c r="C814" t="str">
        <f>LEFT(B814,FIND(" ",B814)-1)</f>
        <v>Boult</v>
      </c>
      <c r="D814" t="str">
        <f>TRIM(RIGHT(E814,LEN(E814)-FIND("@",SUBSTITUTE(E814,"|","@",LEN(E814)-LEN(SUBSTITUTE(E814,"|",""))))))</f>
        <v>In-Ear</v>
      </c>
      <c r="E814" t="s">
        <v>747</v>
      </c>
      <c r="F814" s="1">
        <v>1099</v>
      </c>
      <c r="G814" s="1">
        <v>5999</v>
      </c>
      <c r="H814" s="6">
        <v>82</v>
      </c>
      <c r="I814">
        <v>3.5</v>
      </c>
      <c r="J814" s="1">
        <v>12966</v>
      </c>
    </row>
    <row r="815" spans="1:10">
      <c r="A815" t="s">
        <v>1724</v>
      </c>
      <c r="B815" t="s">
        <v>1725</v>
      </c>
      <c r="C815" t="str">
        <f>LEFT(B815,FIND(" ",B815)-1)</f>
        <v>Classmate</v>
      </c>
      <c r="D815" t="str">
        <f>TRIM(RIGHT(E815,LEN(E815)-FIND("@",SUBSTITUTE(E815,"|","@",LEN(E815)-LEN(SUBSTITUTE(E815,"|",""))))))</f>
        <v>WireboundNotebooks</v>
      </c>
      <c r="E815" t="s">
        <v>1368</v>
      </c>
      <c r="F815">
        <v>157</v>
      </c>
      <c r="G815">
        <v>160</v>
      </c>
      <c r="H815" s="6">
        <v>2</v>
      </c>
      <c r="I815">
        <v>4.5</v>
      </c>
      <c r="J815" s="1">
        <v>4428</v>
      </c>
    </row>
    <row r="816" spans="1:10">
      <c r="A816" t="s">
        <v>1726</v>
      </c>
      <c r="B816" t="s">
        <v>1727</v>
      </c>
      <c r="C816" t="str">
        <f>LEFT(B816,FIND(" ",B816)-1)</f>
        <v>LS</v>
      </c>
      <c r="D816" t="str">
        <f>TRIM(RIGHT(E816,LEN(E816)-FIND("@",SUBSTITUTE(E816,"|","@",LEN(E816)-LEN(SUBSTITUTE(E816,"|",""))))))</f>
        <v>DustCovers</v>
      </c>
      <c r="E816" t="s">
        <v>1288</v>
      </c>
      <c r="F816">
        <v>115</v>
      </c>
      <c r="G816">
        <v>999</v>
      </c>
      <c r="H816" s="6">
        <v>88</v>
      </c>
      <c r="I816">
        <v>3.3</v>
      </c>
      <c r="J816" s="1">
        <v>5692</v>
      </c>
    </row>
    <row r="817" spans="1:10">
      <c r="A817" t="s">
        <v>1728</v>
      </c>
      <c r="B817" t="s">
        <v>1729</v>
      </c>
      <c r="C817" t="str">
        <f>LEFT(B817,FIND(" ",B817)-1)</f>
        <v>KLAM</v>
      </c>
      <c r="D817" t="str">
        <f>TRIM(RIGHT(E817,LEN(E817)-FIND("@",SUBSTITUTE(E817,"|","@",LEN(E817)-LEN(SUBSTITUTE(E817,"|",""))))))</f>
        <v>GraphicTablets</v>
      </c>
      <c r="E817" t="s">
        <v>1195</v>
      </c>
      <c r="F817">
        <v>175</v>
      </c>
      <c r="G817">
        <v>499</v>
      </c>
      <c r="H817" s="6">
        <v>65</v>
      </c>
      <c r="I817">
        <v>4.0999999999999996</v>
      </c>
      <c r="J817">
        <v>21</v>
      </c>
    </row>
    <row r="818" spans="1:10">
      <c r="A818" t="s">
        <v>1730</v>
      </c>
      <c r="B818" t="s">
        <v>1731</v>
      </c>
      <c r="C818" t="str">
        <f>LEFT(B818,FIND(" ",B818)-1)</f>
        <v>CP</v>
      </c>
      <c r="D818" t="str">
        <f>TRIM(RIGHT(E818,LEN(E818)-FIND("@",SUBSTITUTE(E818,"|","@",LEN(E818)-LEN(SUBSTITUTE(E818,"|",""))))))</f>
        <v>DomeCameras</v>
      </c>
      <c r="E818" t="s">
        <v>1430</v>
      </c>
      <c r="F818" s="1">
        <v>1999</v>
      </c>
      <c r="G818" s="1">
        <v>4700</v>
      </c>
      <c r="H818" s="6">
        <v>57</v>
      </c>
      <c r="I818">
        <v>3.8</v>
      </c>
      <c r="J818" s="1">
        <v>1880</v>
      </c>
    </row>
    <row r="819" spans="1:10">
      <c r="A819" t="s">
        <v>1732</v>
      </c>
      <c r="B819" t="s">
        <v>1733</v>
      </c>
      <c r="C819" t="str">
        <f>LEFT(B819,FIND(" ",B819)-1)</f>
        <v>HP</v>
      </c>
      <c r="D819" t="str">
        <f>TRIM(RIGHT(E819,LEN(E819)-FIND("@",SUBSTITUTE(E819,"|","@",LEN(E819)-LEN(SUBSTITUTE(E819,"|",""))))))</f>
        <v>Printers</v>
      </c>
      <c r="E819" t="s">
        <v>1734</v>
      </c>
      <c r="F819" s="1">
        <v>3999</v>
      </c>
      <c r="G819" s="3">
        <v>4332.96</v>
      </c>
      <c r="H819" s="6">
        <v>8</v>
      </c>
      <c r="I819">
        <v>3.5</v>
      </c>
      <c r="J819" s="1">
        <v>21762</v>
      </c>
    </row>
    <row r="820" spans="1:10">
      <c r="A820" t="s">
        <v>1735</v>
      </c>
      <c r="B820" t="s">
        <v>1736</v>
      </c>
      <c r="C820" t="str">
        <f>LEFT(B820,FIND(" ",B820)-1)</f>
        <v>D-Link</v>
      </c>
      <c r="D820" t="str">
        <f>TRIM(RIGHT(E820,LEN(E820)-FIND("@",SUBSTITUTE(E820,"|","@",LEN(E820)-LEN(SUBSTITUTE(E820,"|",""))))))</f>
        <v>Routers</v>
      </c>
      <c r="E820" t="s">
        <v>1328</v>
      </c>
      <c r="F820">
        <v>899</v>
      </c>
      <c r="G820" s="1">
        <v>1800</v>
      </c>
      <c r="H820" s="6">
        <v>5</v>
      </c>
      <c r="I820">
        <v>4.0999999999999996</v>
      </c>
      <c r="J820" s="1">
        <v>22375</v>
      </c>
    </row>
    <row r="821" spans="1:10">
      <c r="A821" t="s">
        <v>1737</v>
      </c>
      <c r="B821" t="s">
        <v>1738</v>
      </c>
      <c r="C821" t="str">
        <f>LEFT(B821,FIND(" ",B821)-1)</f>
        <v>RPM</v>
      </c>
      <c r="D821" t="str">
        <f>TRIM(RIGHT(E821,LEN(E821)-FIND("@",SUBSTITUTE(E821,"|","@",LEN(E821)-LEN(SUBSTITUTE(E821,"|",""))))))</f>
        <v>MousePads</v>
      </c>
      <c r="E821" t="s">
        <v>1307</v>
      </c>
      <c r="F821">
        <v>299</v>
      </c>
      <c r="G821">
        <v>990</v>
      </c>
      <c r="H821" s="6">
        <v>7</v>
      </c>
      <c r="I821">
        <v>4.5</v>
      </c>
      <c r="J821" s="1">
        <v>2453</v>
      </c>
    </row>
    <row r="822" spans="1:10">
      <c r="A822" t="s">
        <v>1739</v>
      </c>
      <c r="B822" t="s">
        <v>1740</v>
      </c>
      <c r="C822" t="str">
        <f>LEFT(B822,FIND(" ",B822)-1)</f>
        <v>Wacom</v>
      </c>
      <c r="D822" t="str">
        <f>TRIM(RIGHT(E822,LEN(E822)-FIND("@",SUBSTITUTE(E822,"|","@",LEN(E822)-LEN(SUBSTITUTE(E822,"|",""))))))</f>
        <v>GraphicTablets</v>
      </c>
      <c r="E822" t="s">
        <v>1195</v>
      </c>
      <c r="F822" s="1">
        <v>3303</v>
      </c>
      <c r="G822" s="1">
        <v>4699</v>
      </c>
      <c r="H822" s="6">
        <v>3</v>
      </c>
      <c r="I822">
        <v>4.4000000000000004</v>
      </c>
      <c r="J822" s="1">
        <v>13544</v>
      </c>
    </row>
    <row r="823" spans="1:10">
      <c r="A823" t="s">
        <v>1741</v>
      </c>
      <c r="B823" t="s">
        <v>1742</v>
      </c>
      <c r="C823" t="str">
        <f>LEFT(B823,FIND(" ",B823)-1)</f>
        <v>Lenovo</v>
      </c>
      <c r="D823" t="str">
        <f>TRIM(RIGHT(E823,LEN(E823)-FIND("@",SUBSTITUTE(E823,"|","@",LEN(E823)-LEN(SUBSTITUTE(E823,"|",""))))))</f>
        <v>Webcams</v>
      </c>
      <c r="E823" t="s">
        <v>1580</v>
      </c>
      <c r="F823" s="1">
        <v>1890</v>
      </c>
      <c r="G823" s="1">
        <v>5490</v>
      </c>
      <c r="H823" s="6">
        <v>66</v>
      </c>
      <c r="I823">
        <v>4.0999999999999996</v>
      </c>
      <c r="J823" s="1">
        <v>10976</v>
      </c>
    </row>
    <row r="824" spans="1:10">
      <c r="A824" t="s">
        <v>1743</v>
      </c>
      <c r="B824" t="s">
        <v>1744</v>
      </c>
      <c r="C824" t="str">
        <f>LEFT(B824,FIND(" ",B824)-1)</f>
        <v>Parker</v>
      </c>
      <c r="D824" t="str">
        <f>TRIM(RIGHT(E824,LEN(E824)-FIND("@",SUBSTITUTE(E824,"|","@",LEN(E824)-LEN(SUBSTITUTE(E824,"|",""))))))</f>
        <v>BottledInk</v>
      </c>
      <c r="E824" t="s">
        <v>1504</v>
      </c>
      <c r="F824">
        <v>90</v>
      </c>
      <c r="G824">
        <v>100</v>
      </c>
      <c r="H824" s="6">
        <v>1</v>
      </c>
      <c r="I824">
        <v>4.3</v>
      </c>
      <c r="J824" s="1">
        <v>3061</v>
      </c>
    </row>
    <row r="825" spans="1:10">
      <c r="A825" t="s">
        <v>1745</v>
      </c>
      <c r="B825" t="s">
        <v>1746</v>
      </c>
      <c r="C825" t="str">
        <f>LEFT(B825,FIND(" ",B825)-1)</f>
        <v>Sony</v>
      </c>
      <c r="D825" t="str">
        <f>TRIM(RIGHT(E825,LEN(E825)-FIND("@",SUBSTITUTE(E825,"|","@",LEN(E825)-LEN(SUBSTITUTE(E825,"|",""))))))</f>
        <v>In-Ear</v>
      </c>
      <c r="E825" t="s">
        <v>747</v>
      </c>
      <c r="F825" s="1">
        <v>1599</v>
      </c>
      <c r="G825" s="1">
        <v>2790</v>
      </c>
      <c r="H825" s="6">
        <v>43</v>
      </c>
      <c r="I825">
        <v>3.6</v>
      </c>
      <c r="J825" s="1">
        <v>2272</v>
      </c>
    </row>
    <row r="826" spans="1:10">
      <c r="A826" t="s">
        <v>1747</v>
      </c>
      <c r="B826" t="s">
        <v>1748</v>
      </c>
      <c r="C826" t="str">
        <f>LEFT(B826,FIND(" ",B826)-1)</f>
        <v>Zebronics,</v>
      </c>
      <c r="D826" t="str">
        <f>TRIM(RIGHT(E826,LEN(E826)-FIND("@",SUBSTITUTE(E826,"|","@",LEN(E826)-LEN(SUBSTITUTE(E826,"|",""))))))</f>
        <v>CoolingPads</v>
      </c>
      <c r="E826" t="s">
        <v>1587</v>
      </c>
      <c r="F826">
        <v>599</v>
      </c>
      <c r="G826">
        <v>999</v>
      </c>
      <c r="H826" s="6">
        <v>4</v>
      </c>
      <c r="I826">
        <v>4</v>
      </c>
      <c r="J826" s="1">
        <v>7601</v>
      </c>
    </row>
    <row r="827" spans="1:10">
      <c r="A827" t="s">
        <v>1749</v>
      </c>
      <c r="B827" t="s">
        <v>1750</v>
      </c>
      <c r="C827" t="str">
        <f>LEFT(B827,FIND(" ",B827)-1)</f>
        <v>Tukzer</v>
      </c>
      <c r="D827" t="str">
        <f>TRIM(RIGHT(E827,LEN(E827)-FIND("@",SUBSTITUTE(E827,"|","@",LEN(E827)-LEN(SUBSTITUTE(E827,"|",""))))))</f>
        <v>MousePads</v>
      </c>
      <c r="E827" t="s">
        <v>1307</v>
      </c>
      <c r="F827">
        <v>425</v>
      </c>
      <c r="G827">
        <v>899</v>
      </c>
      <c r="H827" s="6">
        <v>53</v>
      </c>
      <c r="I827">
        <v>4.5</v>
      </c>
      <c r="J827" s="1">
        <v>4219</v>
      </c>
    </row>
    <row r="828" spans="1:10">
      <c r="A828" t="s">
        <v>1751</v>
      </c>
      <c r="B828" t="s">
        <v>1752</v>
      </c>
      <c r="C828" t="str">
        <f>LEFT(B828,FIND(" ",B828)-1)</f>
        <v>Infinity</v>
      </c>
      <c r="D828" t="str">
        <f>TRIM(RIGHT(E828,LEN(E828)-FIND("@",SUBSTITUTE(E828,"|","@",LEN(E828)-LEN(SUBSTITUTE(E828,"|",""))))))</f>
        <v>On-Ear</v>
      </c>
      <c r="E828" t="s">
        <v>1093</v>
      </c>
      <c r="F828" s="1">
        <v>1499</v>
      </c>
      <c r="G828" s="1">
        <v>3999</v>
      </c>
      <c r="H828" s="6">
        <v>63</v>
      </c>
      <c r="I828">
        <v>4.2</v>
      </c>
      <c r="J828" s="1">
        <v>42775</v>
      </c>
    </row>
    <row r="829" spans="1:10">
      <c r="A829" t="s">
        <v>1753</v>
      </c>
      <c r="B829" t="s">
        <v>1754</v>
      </c>
      <c r="C829" t="str">
        <f>LEFT(B829,FIND(" ",B829)-1)</f>
        <v>Robustrion</v>
      </c>
      <c r="D829" t="str">
        <f>TRIM(RIGHT(E829,LEN(E829)-FIND("@",SUBSTITUTE(E829,"|","@",LEN(E829)-LEN(SUBSTITUTE(E829,"|",""))))))</f>
        <v>Cases</v>
      </c>
      <c r="E829" t="s">
        <v>1686</v>
      </c>
      <c r="F829">
        <v>549</v>
      </c>
      <c r="G829" s="1">
        <v>2499</v>
      </c>
      <c r="H829" s="6">
        <v>78</v>
      </c>
      <c r="I829">
        <v>4.3</v>
      </c>
      <c r="J829" s="1">
        <v>5556</v>
      </c>
    </row>
    <row r="830" spans="1:10">
      <c r="A830" t="s">
        <v>1755</v>
      </c>
      <c r="B830" t="s">
        <v>1756</v>
      </c>
      <c r="C830" t="str">
        <f>LEFT(B830,FIND(" ",B830)-1)</f>
        <v>Logitech</v>
      </c>
      <c r="D830" t="str">
        <f>TRIM(RIGHT(E830,LEN(E830)-FIND("@",SUBSTITUTE(E830,"|","@",LEN(E830)-LEN(SUBSTITUTE(E830,"|",""))))))</f>
        <v>Mice</v>
      </c>
      <c r="E830" t="s">
        <v>1192</v>
      </c>
      <c r="F830" s="1">
        <v>1295</v>
      </c>
      <c r="G830" s="1">
        <v>1645</v>
      </c>
      <c r="H830" s="6">
        <v>21</v>
      </c>
      <c r="I830">
        <v>4.5999999999999996</v>
      </c>
      <c r="J830" s="1">
        <v>12375</v>
      </c>
    </row>
    <row r="831" spans="1:10">
      <c r="A831" t="s">
        <v>1757</v>
      </c>
      <c r="B831" t="s">
        <v>1758</v>
      </c>
      <c r="C831" t="str">
        <f>LEFT(B831,FIND(" ",B831)-1)</f>
        <v>Camel</v>
      </c>
      <c r="D831" t="str">
        <f>TRIM(RIGHT(E831,LEN(E831)-FIND("@",SUBSTITUTE(E831,"|","@",LEN(E831)-LEN(SUBSTITUTE(E831,"|",""))))))</f>
        <v>Paints</v>
      </c>
      <c r="E831" t="s">
        <v>1304</v>
      </c>
      <c r="F831">
        <v>310</v>
      </c>
      <c r="G831">
        <v>310</v>
      </c>
      <c r="H831" s="6">
        <v>0</v>
      </c>
      <c r="I831">
        <v>4.5</v>
      </c>
      <c r="J831" s="1">
        <v>5882</v>
      </c>
    </row>
    <row r="832" spans="1:10">
      <c r="A832" t="s">
        <v>1759</v>
      </c>
      <c r="B832" t="s">
        <v>1760</v>
      </c>
      <c r="C832" t="str">
        <f>LEFT(B832,FIND(" ",B832)-1)</f>
        <v>Portronics</v>
      </c>
      <c r="D832" t="str">
        <f>TRIM(RIGHT(E832,LEN(E832)-FIND("@",SUBSTITUTE(E832,"|","@",LEN(E832)-LEN(SUBSTITUTE(E832,"|",""))))))</f>
        <v>Keyboard&amp;MouseSets</v>
      </c>
      <c r="E832" t="s">
        <v>1249</v>
      </c>
      <c r="F832" s="1">
        <v>1149</v>
      </c>
      <c r="G832" s="1">
        <v>1499</v>
      </c>
      <c r="H832" s="6">
        <v>23</v>
      </c>
      <c r="I832">
        <v>4.0999999999999996</v>
      </c>
      <c r="J832" s="1">
        <v>10443</v>
      </c>
    </row>
    <row r="833" spans="1:10">
      <c r="A833" t="s">
        <v>1761</v>
      </c>
      <c r="B833" t="s">
        <v>1762</v>
      </c>
      <c r="C833" t="str">
        <f>LEFT(B833,FIND(" ",B833)-1)</f>
        <v>SupCares</v>
      </c>
      <c r="D833" t="str">
        <f>TRIM(RIGHT(E833,LEN(E833)-FIND("@",SUBSTITUTE(E833,"|","@",LEN(E833)-LEN(SUBSTITUTE(E833,"|",""))))))</f>
        <v>Lapdesks</v>
      </c>
      <c r="E833" t="s">
        <v>1201</v>
      </c>
      <c r="F833">
        <v>499</v>
      </c>
      <c r="G833" s="1">
        <v>1299</v>
      </c>
      <c r="H833" s="6">
        <v>62</v>
      </c>
      <c r="I833">
        <v>4.5</v>
      </c>
      <c r="J833">
        <v>434</v>
      </c>
    </row>
    <row r="834" spans="1:10">
      <c r="A834" t="s">
        <v>1763</v>
      </c>
      <c r="B834" t="s">
        <v>1764</v>
      </c>
      <c r="C834" t="str">
        <f>LEFT(B834,FIND(" ",B834)-1)</f>
        <v>ZEBRONICS</v>
      </c>
      <c r="D834" t="str">
        <f>TRIM(RIGHT(E834,LEN(E834)-FIND("@",SUBSTITUTE(E834,"|","@",LEN(E834)-LEN(SUBSTITUTE(E834,"|",""))))))</f>
        <v>In-Ear</v>
      </c>
      <c r="E834" t="s">
        <v>747</v>
      </c>
      <c r="F834">
        <v>999</v>
      </c>
      <c r="G834" s="1">
        <v>4199</v>
      </c>
      <c r="H834" s="6">
        <v>76</v>
      </c>
      <c r="I834">
        <v>3.5</v>
      </c>
      <c r="J834" s="1">
        <v>1913</v>
      </c>
    </row>
    <row r="835" spans="1:10">
      <c r="A835" t="s">
        <v>1765</v>
      </c>
      <c r="B835" t="s">
        <v>1766</v>
      </c>
      <c r="C835" t="str">
        <f>LEFT(B835,FIND(" ",B835)-1)</f>
        <v>Western</v>
      </c>
      <c r="D835" t="str">
        <f>TRIM(RIGHT(E835,LEN(E835)-FIND("@",SUBSTITUTE(E835,"|","@",LEN(E835)-LEN(SUBSTITUTE(E835,"|",""))))))</f>
        <v>InternalSolidStateDrives</v>
      </c>
      <c r="E835" t="s">
        <v>1616</v>
      </c>
      <c r="F835" s="1">
        <v>1709</v>
      </c>
      <c r="G835" s="1">
        <v>4000</v>
      </c>
      <c r="H835" s="6">
        <v>57</v>
      </c>
      <c r="I835">
        <v>4.4000000000000004</v>
      </c>
      <c r="J835" s="1">
        <v>3029</v>
      </c>
    </row>
    <row r="836" spans="1:10">
      <c r="A836" t="s">
        <v>1767</v>
      </c>
      <c r="B836" t="s">
        <v>1768</v>
      </c>
      <c r="C836" t="str">
        <f>LEFT(B836,FIND(" ",B836)-1)</f>
        <v>Classmate</v>
      </c>
      <c r="D836" t="str">
        <f>TRIM(RIGHT(E836,LEN(E836)-FIND("@",SUBSTITUTE(E836,"|","@",LEN(E836)-LEN(SUBSTITUTE(E836,"|",""))))))</f>
        <v>GelInkRollerballPens</v>
      </c>
      <c r="E836" t="s">
        <v>1239</v>
      </c>
      <c r="F836">
        <v>250</v>
      </c>
      <c r="G836">
        <v>250</v>
      </c>
      <c r="H836" s="6">
        <v>0</v>
      </c>
      <c r="I836">
        <v>4.2</v>
      </c>
      <c r="J836" s="1">
        <v>2628</v>
      </c>
    </row>
    <row r="837" spans="1:10">
      <c r="A837" t="s">
        <v>1769</v>
      </c>
      <c r="B837" t="s">
        <v>1770</v>
      </c>
      <c r="C837" t="str">
        <f>LEFT(B837,FIND(" ",B837)-1)</f>
        <v>Classmate</v>
      </c>
      <c r="D837" t="str">
        <f>TRIM(RIGHT(E837,LEN(E837)-FIND("@",SUBSTITUTE(E837,"|","@",LEN(E837)-LEN(SUBSTITUTE(E837,"|",""))))))</f>
        <v>Pens</v>
      </c>
      <c r="E837" t="s">
        <v>1771</v>
      </c>
      <c r="F837">
        <v>90</v>
      </c>
      <c r="G837">
        <v>100</v>
      </c>
      <c r="H837" s="6">
        <v>1</v>
      </c>
      <c r="I837">
        <v>4.4000000000000004</v>
      </c>
      <c r="J837" s="1">
        <v>10718</v>
      </c>
    </row>
    <row r="838" spans="1:10">
      <c r="A838" t="s">
        <v>1772</v>
      </c>
      <c r="B838" t="s">
        <v>1773</v>
      </c>
      <c r="C838" t="str">
        <f>LEFT(B838,FIND(" ",B838)-1)</f>
        <v>Tukzer</v>
      </c>
      <c r="D838" t="str">
        <f>TRIM(RIGHT(E838,LEN(E838)-FIND("@",SUBSTITUTE(E838,"|","@",LEN(E838)-LEN(SUBSTITUTE(E838,"|",""))))))</f>
        <v>StylusPens</v>
      </c>
      <c r="E838" t="s">
        <v>956</v>
      </c>
      <c r="F838" s="1">
        <v>2025</v>
      </c>
      <c r="G838" s="1">
        <v>5999</v>
      </c>
      <c r="H838" s="6">
        <v>66</v>
      </c>
      <c r="I838">
        <v>4.2</v>
      </c>
      <c r="J838" s="1">
        <v>6233</v>
      </c>
    </row>
    <row r="839" spans="1:10">
      <c r="A839" t="s">
        <v>1774</v>
      </c>
      <c r="B839" t="s">
        <v>1775</v>
      </c>
      <c r="C839" t="str">
        <f>LEFT(B839,FIND(" ",B839)-1)</f>
        <v>Logitech</v>
      </c>
      <c r="D839" t="str">
        <f>TRIM(RIGHT(E839,LEN(E839)-FIND("@",SUBSTITUTE(E839,"|","@",LEN(E839)-LEN(SUBSTITUTE(E839,"|",""))))))</f>
        <v>GamingMice</v>
      </c>
      <c r="E839" t="s">
        <v>1301</v>
      </c>
      <c r="F839" s="1">
        <v>1495</v>
      </c>
      <c r="G839" s="1">
        <v>1995</v>
      </c>
      <c r="H839" s="6">
        <v>25</v>
      </c>
      <c r="I839">
        <v>4.5</v>
      </c>
      <c r="J839" s="1">
        <v>10541</v>
      </c>
    </row>
    <row r="840" spans="1:10">
      <c r="A840" t="s">
        <v>1776</v>
      </c>
      <c r="B840" t="s">
        <v>1777</v>
      </c>
      <c r="C840" t="str">
        <f>LEFT(B840,FIND(" ",B840)-1)</f>
        <v>Zebronics</v>
      </c>
      <c r="D840" t="str">
        <f>TRIM(RIGHT(E840,LEN(E840)-FIND("@",SUBSTITUTE(E840,"|","@",LEN(E840)-LEN(SUBSTITUTE(E840,"|",""))))))</f>
        <v>BluetoothSpeakers</v>
      </c>
      <c r="E840" t="s">
        <v>1345</v>
      </c>
      <c r="F840">
        <v>899</v>
      </c>
      <c r="G840" s="1">
        <v>1199</v>
      </c>
      <c r="H840" s="6">
        <v>25</v>
      </c>
      <c r="I840">
        <v>3.8</v>
      </c>
      <c r="J840" s="1">
        <v>10751</v>
      </c>
    </row>
    <row r="841" spans="1:10">
      <c r="A841" t="s">
        <v>1778</v>
      </c>
      <c r="B841" t="s">
        <v>1779</v>
      </c>
      <c r="C841" t="str">
        <f>LEFT(B841,FIND(" ",B841)-1)</f>
        <v>Lapster</v>
      </c>
      <c r="D841" t="str">
        <f>TRIM(RIGHT(E841,LEN(E841)-FIND("@",SUBSTITUTE(E841,"|","@",LEN(E841)-LEN(SUBSTITUTE(E841,"|",""))))))</f>
        <v>SATACables</v>
      </c>
      <c r="E841" t="s">
        <v>1780</v>
      </c>
      <c r="F841">
        <v>349</v>
      </c>
      <c r="G841">
        <v>999</v>
      </c>
      <c r="H841" s="6">
        <v>65</v>
      </c>
      <c r="I841">
        <v>3.9</v>
      </c>
      <c r="J841">
        <v>817</v>
      </c>
    </row>
    <row r="842" spans="1:10">
      <c r="A842" t="s">
        <v>1781</v>
      </c>
      <c r="B842" t="s">
        <v>1782</v>
      </c>
      <c r="C842" t="str">
        <f>LEFT(B842,FIND(" ",B842)-1)</f>
        <v>URBN</v>
      </c>
      <c r="D842" t="str">
        <f>TRIM(RIGHT(E842,LEN(E842)-FIND("@",SUBSTITUTE(E842,"|","@",LEN(E842)-LEN(SUBSTITUTE(E842,"|",""))))))</f>
        <v>PowerBanks</v>
      </c>
      <c r="E842" t="s">
        <v>721</v>
      </c>
      <c r="F842">
        <v>900</v>
      </c>
      <c r="G842" s="1">
        <v>2499</v>
      </c>
      <c r="H842" s="6">
        <v>64</v>
      </c>
      <c r="I842">
        <v>4</v>
      </c>
      <c r="J842" s="1">
        <v>36384</v>
      </c>
    </row>
    <row r="843" spans="1:10">
      <c r="A843" t="s">
        <v>1783</v>
      </c>
      <c r="B843" t="s">
        <v>1784</v>
      </c>
      <c r="C843" t="str">
        <f>LEFT(B843,FIND(" ",B843)-1)</f>
        <v>Qubo</v>
      </c>
      <c r="D843" t="str">
        <f>TRIM(RIGHT(E843,LEN(E843)-FIND("@",SUBSTITUTE(E843,"|","@",LEN(E843)-LEN(SUBSTITUTE(E843,"|",""))))))</f>
        <v>DomeCameras</v>
      </c>
      <c r="E843" t="s">
        <v>1430</v>
      </c>
      <c r="F843" s="1">
        <v>2490</v>
      </c>
      <c r="G843" s="1">
        <v>3990</v>
      </c>
      <c r="H843" s="6">
        <v>38</v>
      </c>
      <c r="I843">
        <v>4.0999999999999996</v>
      </c>
      <c r="J843" s="1">
        <v>3606</v>
      </c>
    </row>
    <row r="844" spans="1:10">
      <c r="A844" t="s">
        <v>1785</v>
      </c>
      <c r="B844" t="s">
        <v>1786</v>
      </c>
      <c r="C844" t="str">
        <f>LEFT(B844,FIND(" ",B844)-1)</f>
        <v>Duracell</v>
      </c>
      <c r="D844" t="str">
        <f>TRIM(RIGHT(E844,LEN(E844)-FIND("@",SUBSTITUTE(E844,"|","@",LEN(E844)-LEN(SUBSTITUTE(E844,"|",""))))))</f>
        <v>GeneralPurposeBatteries&amp;BatteryChargers</v>
      </c>
      <c r="E844" t="s">
        <v>1348</v>
      </c>
      <c r="F844">
        <v>116</v>
      </c>
      <c r="G844">
        <v>200</v>
      </c>
      <c r="H844" s="6">
        <v>42</v>
      </c>
      <c r="I844">
        <v>4.4000000000000004</v>
      </c>
      <c r="J844">
        <v>357</v>
      </c>
    </row>
    <row r="845" spans="1:10">
      <c r="A845" t="s">
        <v>1787</v>
      </c>
      <c r="B845" t="s">
        <v>1788</v>
      </c>
      <c r="C845" t="str">
        <f>LEFT(B845,FIND(" ",B845)-1)</f>
        <v>Camel</v>
      </c>
      <c r="D845" t="str">
        <f>TRIM(RIGHT(E845,LEN(E845)-FIND("@",SUBSTITUTE(E845,"|","@",LEN(E845)-LEN(SUBSTITUTE(E845,"|",""))))))</f>
        <v>Paints</v>
      </c>
      <c r="E845" t="s">
        <v>1304</v>
      </c>
      <c r="F845">
        <v>200</v>
      </c>
      <c r="G845">
        <v>230</v>
      </c>
      <c r="H845" s="6">
        <v>13</v>
      </c>
      <c r="I845">
        <v>4.4000000000000004</v>
      </c>
      <c r="J845" s="1">
        <v>10170</v>
      </c>
    </row>
    <row r="846" spans="1:10">
      <c r="A846" t="s">
        <v>1789</v>
      </c>
      <c r="B846" t="s">
        <v>1790</v>
      </c>
      <c r="C846" t="str">
        <f>LEFT(B846,FIND(" ",B846)-1)</f>
        <v>Lenovo</v>
      </c>
      <c r="D846" t="str">
        <f>TRIM(RIGHT(E846,LEN(E846)-FIND("@",SUBSTITUTE(E846,"|","@",LEN(E846)-LEN(SUBSTITUTE(E846,"|",""))))))</f>
        <v>LaptopChargers&amp;PowerSupplies</v>
      </c>
      <c r="E846" t="s">
        <v>1653</v>
      </c>
      <c r="F846" s="1">
        <v>1249</v>
      </c>
      <c r="G846" s="1">
        <v>2796</v>
      </c>
      <c r="H846" s="6">
        <v>55</v>
      </c>
      <c r="I846">
        <v>4.4000000000000004</v>
      </c>
      <c r="J846" s="1">
        <v>4598</v>
      </c>
    </row>
    <row r="847" spans="1:10">
      <c r="A847" t="s">
        <v>1791</v>
      </c>
      <c r="B847" t="s">
        <v>1792</v>
      </c>
      <c r="C847" t="str">
        <f>LEFT(B847,FIND(" ",B847)-1)</f>
        <v>Hp</v>
      </c>
      <c r="D847" t="str">
        <f>TRIM(RIGHT(E847,LEN(E847)-FIND("@",SUBSTITUTE(E847,"|","@",LEN(E847)-LEN(SUBSTITUTE(E847,"|",""))))))</f>
        <v>PCHeadsets</v>
      </c>
      <c r="E847" t="s">
        <v>1793</v>
      </c>
      <c r="F847">
        <v>649</v>
      </c>
      <c r="G847">
        <v>999</v>
      </c>
      <c r="H847" s="6">
        <v>35</v>
      </c>
      <c r="I847">
        <v>3.5</v>
      </c>
      <c r="J847" s="1">
        <v>7222</v>
      </c>
    </row>
    <row r="848" spans="1:10">
      <c r="A848" t="s">
        <v>1794</v>
      </c>
      <c r="B848" t="s">
        <v>1795</v>
      </c>
      <c r="C848" t="str">
        <f>LEFT(B848,FIND(" ",B848)-1)</f>
        <v>Redragon</v>
      </c>
      <c r="D848" t="str">
        <f>TRIM(RIGHT(E848,LEN(E848)-FIND("@",SUBSTITUTE(E848,"|","@",LEN(E848)-LEN(SUBSTITUTE(E848,"|",""))))))</f>
        <v>GamingKeyboards</v>
      </c>
      <c r="E848" t="s">
        <v>1796</v>
      </c>
      <c r="F848" s="1">
        <v>2649</v>
      </c>
      <c r="G848" s="1">
        <v>3499</v>
      </c>
      <c r="H848" s="6">
        <v>24</v>
      </c>
      <c r="I848">
        <v>4.5</v>
      </c>
      <c r="J848" s="1">
        <v>1271</v>
      </c>
    </row>
    <row r="849" spans="1:10">
      <c r="A849" t="s">
        <v>1797</v>
      </c>
      <c r="B849" t="s">
        <v>1798</v>
      </c>
      <c r="C849" t="str">
        <f>LEFT(B849,FIND(" ",B849)-1)</f>
        <v>HP</v>
      </c>
      <c r="D849" t="str">
        <f>TRIM(RIGHT(E849,LEN(E849)-FIND("@",SUBSTITUTE(E849,"|","@",LEN(E849)-LEN(SUBSTITUTE(E849,"|",""))))))</f>
        <v>InkjetInkCartridges</v>
      </c>
      <c r="E849" t="s">
        <v>1285</v>
      </c>
      <c r="F849">
        <v>596</v>
      </c>
      <c r="G849">
        <v>723</v>
      </c>
      <c r="H849" s="6">
        <v>18</v>
      </c>
      <c r="I849">
        <v>4.4000000000000004</v>
      </c>
      <c r="J849" s="1">
        <v>3219</v>
      </c>
    </row>
    <row r="850" spans="1:10">
      <c r="A850" t="s">
        <v>1799</v>
      </c>
      <c r="B850" t="s">
        <v>1800</v>
      </c>
      <c r="C850" t="str">
        <f>LEFT(B850,FIND(" ",B850)-1)</f>
        <v>Noise</v>
      </c>
      <c r="D850" t="str">
        <f>TRIM(RIGHT(E850,LEN(E850)-FIND("@",SUBSTITUTE(E850,"|","@",LEN(E850)-LEN(SUBSTITUTE(E850,"|",""))))))</f>
        <v>SmartWatches</v>
      </c>
      <c r="E850" t="s">
        <v>714</v>
      </c>
      <c r="F850" s="1">
        <v>2499</v>
      </c>
      <c r="G850" s="1">
        <v>5999</v>
      </c>
      <c r="H850" s="6">
        <v>58</v>
      </c>
      <c r="I850">
        <v>4.0999999999999996</v>
      </c>
      <c r="J850" s="1">
        <v>38879</v>
      </c>
    </row>
    <row r="851" spans="1:10">
      <c r="A851" t="s">
        <v>1801</v>
      </c>
      <c r="B851" t="s">
        <v>1802</v>
      </c>
      <c r="C851" t="str">
        <f>LEFT(B851,FIND(" ",B851)-1)</f>
        <v>Zebronics</v>
      </c>
      <c r="D851" t="str">
        <f>TRIM(RIGHT(E851,LEN(E851)-FIND("@",SUBSTITUTE(E851,"|","@",LEN(E851)-LEN(SUBSTITUTE(E851,"|",""))))))</f>
        <v>SoundbarSpeakers</v>
      </c>
      <c r="E851" t="s">
        <v>1803</v>
      </c>
      <c r="F851" s="1">
        <v>4999</v>
      </c>
      <c r="G851" s="1">
        <v>12499</v>
      </c>
      <c r="H851" s="6">
        <v>6</v>
      </c>
      <c r="I851">
        <v>4.2</v>
      </c>
      <c r="J851" s="1">
        <v>4541</v>
      </c>
    </row>
    <row r="852" spans="1:10">
      <c r="A852" t="s">
        <v>1804</v>
      </c>
      <c r="B852" t="s">
        <v>1805</v>
      </c>
      <c r="C852" t="str">
        <f>LEFT(B852,FIND(" ",B852)-1)</f>
        <v>boAt</v>
      </c>
      <c r="D852" t="str">
        <f>TRIM(RIGHT(E852,LEN(E852)-FIND("@",SUBSTITUTE(E852,"|","@",LEN(E852)-LEN(SUBSTITUTE(E852,"|",""))))))</f>
        <v>In-Ear</v>
      </c>
      <c r="E852" t="s">
        <v>747</v>
      </c>
      <c r="F852">
        <v>399</v>
      </c>
      <c r="G852" s="1">
        <v>1290</v>
      </c>
      <c r="H852" s="6">
        <v>69</v>
      </c>
      <c r="I852">
        <v>4.2</v>
      </c>
      <c r="J852" s="1">
        <v>76042</v>
      </c>
    </row>
    <row r="853" spans="1:10">
      <c r="A853" t="s">
        <v>1806</v>
      </c>
      <c r="B853" t="s">
        <v>1807</v>
      </c>
      <c r="C853" t="str">
        <f>LEFT(B853,FIND(" ",B853)-1)</f>
        <v>Duracell</v>
      </c>
      <c r="D853" t="str">
        <f>TRIM(RIGHT(E853,LEN(E853)-FIND("@",SUBSTITUTE(E853,"|","@",LEN(E853)-LEN(SUBSTITUTE(E853,"|",""))))))</f>
        <v>GeneralPurposeBatteries&amp;BatteryChargers</v>
      </c>
      <c r="E853" t="s">
        <v>1348</v>
      </c>
      <c r="F853">
        <v>116</v>
      </c>
      <c r="G853">
        <v>200</v>
      </c>
      <c r="H853" s="6">
        <v>42</v>
      </c>
      <c r="I853">
        <v>4.3</v>
      </c>
      <c r="J853">
        <v>485</v>
      </c>
    </row>
    <row r="854" spans="1:10">
      <c r="A854" t="s">
        <v>1808</v>
      </c>
      <c r="B854" t="s">
        <v>1809</v>
      </c>
      <c r="C854" t="str">
        <f>LEFT(B854,FIND(" ",B854)-1)</f>
        <v>MI</v>
      </c>
      <c r="D854" t="str">
        <f>TRIM(RIGHT(E854,LEN(E854)-FIND("@",SUBSTITUTE(E854,"|","@",LEN(E854)-LEN(SUBSTITUTE(E854,"|",""))))))</f>
        <v>DomeCameras</v>
      </c>
      <c r="E854" t="s">
        <v>1430</v>
      </c>
      <c r="F854" s="1">
        <v>4499</v>
      </c>
      <c r="G854" s="1">
        <v>5999</v>
      </c>
      <c r="H854" s="6">
        <v>25</v>
      </c>
      <c r="I854">
        <v>4.3</v>
      </c>
      <c r="J854" s="1">
        <v>44696</v>
      </c>
    </row>
    <row r="855" spans="1:10">
      <c r="A855" t="s">
        <v>1810</v>
      </c>
      <c r="B855" t="s">
        <v>1811</v>
      </c>
      <c r="C855" t="str">
        <f>LEFT(B855,FIND(" ",B855)-1)</f>
        <v>ZEBRONICS</v>
      </c>
      <c r="D855" t="str">
        <f>TRIM(RIGHT(E855,LEN(E855)-FIND("@",SUBSTITUTE(E855,"|","@",LEN(E855)-LEN(SUBSTITUTE(E855,"|",""))))))</f>
        <v>USBHubs</v>
      </c>
      <c r="E855" t="s">
        <v>1473</v>
      </c>
      <c r="F855">
        <v>330</v>
      </c>
      <c r="G855">
        <v>499</v>
      </c>
      <c r="H855" s="6">
        <v>34</v>
      </c>
      <c r="I855">
        <v>3.7</v>
      </c>
      <c r="J855" s="1">
        <v>8566</v>
      </c>
    </row>
    <row r="856" spans="1:10">
      <c r="A856" t="s">
        <v>1812</v>
      </c>
      <c r="B856" t="s">
        <v>1813</v>
      </c>
      <c r="C856" t="str">
        <f>LEFT(B856,FIND(" ",B856)-1)</f>
        <v>Boult</v>
      </c>
      <c r="D856" t="str">
        <f>TRIM(RIGHT(E856,LEN(E856)-FIND("@",SUBSTITUTE(E856,"|","@",LEN(E856)-LEN(SUBSTITUTE(E856,"|",""))))))</f>
        <v>Over-Ear</v>
      </c>
      <c r="E856" t="s">
        <v>1331</v>
      </c>
      <c r="F856">
        <v>649</v>
      </c>
      <c r="G856" s="1">
        <v>2499</v>
      </c>
      <c r="H856" s="6">
        <v>74</v>
      </c>
      <c r="I856">
        <v>3.9</v>
      </c>
      <c r="J856" s="1">
        <v>13049</v>
      </c>
    </row>
    <row r="857" spans="1:10">
      <c r="A857" t="s">
        <v>1814</v>
      </c>
      <c r="B857" t="s">
        <v>1815</v>
      </c>
      <c r="C857" t="str">
        <f>LEFT(B857,FIND(" ",B857)-1)</f>
        <v>ESR</v>
      </c>
      <c r="D857" t="str">
        <f>TRIM(RIGHT(E857,LEN(E857)-FIND("@",SUBSTITUTE(E857,"|","@",LEN(E857)-LEN(SUBSTITUTE(E857,"|",""))))))</f>
        <v>ScreenProtectors</v>
      </c>
      <c r="E857" t="s">
        <v>1449</v>
      </c>
      <c r="F857" s="1">
        <v>1234</v>
      </c>
      <c r="G857" s="1">
        <v>1599</v>
      </c>
      <c r="H857" s="6">
        <v>23</v>
      </c>
      <c r="I857">
        <v>4.5</v>
      </c>
      <c r="J857" s="1">
        <v>16680</v>
      </c>
    </row>
    <row r="858" spans="1:10">
      <c r="A858" t="s">
        <v>1091</v>
      </c>
      <c r="B858" t="s">
        <v>1092</v>
      </c>
      <c r="C858" t="str">
        <f>LEFT(B858,FIND(" ",B858)-1)</f>
        <v>boAt</v>
      </c>
      <c r="D858" t="str">
        <f>TRIM(RIGHT(E858,LEN(E858)-FIND("@",SUBSTITUTE(E858,"|","@",LEN(E858)-LEN(SUBSTITUTE(E858,"|",""))))))</f>
        <v>On-Ear</v>
      </c>
      <c r="E858" t="s">
        <v>1093</v>
      </c>
      <c r="F858" s="1">
        <v>1399</v>
      </c>
      <c r="G858" s="1">
        <v>2990</v>
      </c>
      <c r="H858" s="6">
        <v>53</v>
      </c>
      <c r="I858">
        <v>4.0999999999999996</v>
      </c>
      <c r="J858" s="1">
        <v>97174</v>
      </c>
    </row>
    <row r="859" spans="1:10">
      <c r="A859" t="s">
        <v>1816</v>
      </c>
      <c r="B859" t="s">
        <v>1817</v>
      </c>
      <c r="C859" t="str">
        <f>LEFT(B859,FIND(" ",B859)-1)</f>
        <v>Parker</v>
      </c>
      <c r="D859" t="str">
        <f>TRIM(RIGHT(E859,LEN(E859)-FIND("@",SUBSTITUTE(E859,"|","@",LEN(E859)-LEN(SUBSTITUTE(E859,"|",""))))))</f>
        <v>StickBallpointPens</v>
      </c>
      <c r="E859" t="s">
        <v>1691</v>
      </c>
      <c r="F859">
        <v>272</v>
      </c>
      <c r="G859">
        <v>320</v>
      </c>
      <c r="H859" s="6">
        <v>15</v>
      </c>
      <c r="I859">
        <v>4</v>
      </c>
      <c r="J859" s="1">
        <v>3686</v>
      </c>
    </row>
    <row r="860" spans="1:10">
      <c r="A860" t="s">
        <v>1818</v>
      </c>
      <c r="B860" t="s">
        <v>1819</v>
      </c>
      <c r="C860" t="str">
        <f>LEFT(B860,FIND(" ",B860)-1)</f>
        <v>Silicone</v>
      </c>
      <c r="D860" t="str">
        <f>TRIM(RIGHT(E860,LEN(E860)-FIND("@",SUBSTITUTE(E860,"|","@",LEN(E860)-LEN(SUBSTITUTE(E860,"|",""))))))</f>
        <v>Earpads</v>
      </c>
      <c r="E860" t="s">
        <v>1820</v>
      </c>
      <c r="F860">
        <v>99</v>
      </c>
      <c r="G860">
        <v>999</v>
      </c>
      <c r="H860" s="6">
        <v>9</v>
      </c>
      <c r="I860">
        <v>3.8</v>
      </c>
      <c r="J860">
        <v>594</v>
      </c>
    </row>
    <row r="861" spans="1:10">
      <c r="A861" t="s">
        <v>1821</v>
      </c>
      <c r="B861" t="s">
        <v>1822</v>
      </c>
      <c r="C861" t="str">
        <f>LEFT(B861,FIND(" ",B861)-1)</f>
        <v>Canon</v>
      </c>
      <c r="D861" t="str">
        <f>TRIM(RIGHT(E861,LEN(E861)-FIND("@",SUBSTITUTE(E861,"|","@",LEN(E861)-LEN(SUBSTITUTE(E861,"|",""))))))</f>
        <v>InkjetPrinters</v>
      </c>
      <c r="E861" t="s">
        <v>1823</v>
      </c>
      <c r="F861" s="1">
        <v>3498</v>
      </c>
      <c r="G861" s="1">
        <v>3875</v>
      </c>
      <c r="H861" s="6">
        <v>1</v>
      </c>
      <c r="I861">
        <v>3.4</v>
      </c>
      <c r="J861" s="1">
        <v>12185</v>
      </c>
    </row>
    <row r="862" spans="1:10">
      <c r="A862" t="s">
        <v>1824</v>
      </c>
      <c r="B862" t="s">
        <v>1825</v>
      </c>
      <c r="C862" t="str">
        <f>LEFT(B862,FIND(" ",B862)-1)</f>
        <v>Samsung</v>
      </c>
      <c r="D862" t="str">
        <f>TRIM(RIGHT(E862,LEN(E862)-FIND("@",SUBSTITUTE(E862,"|","@",LEN(E862)-LEN(SUBSTITUTE(E862,"|",""))))))</f>
        <v>Monitors</v>
      </c>
      <c r="E862" t="s">
        <v>1410</v>
      </c>
      <c r="F862" s="1">
        <v>10099</v>
      </c>
      <c r="G862" s="1">
        <v>19110</v>
      </c>
      <c r="H862" s="6">
        <v>47</v>
      </c>
      <c r="I862">
        <v>4.3</v>
      </c>
      <c r="J862" s="1">
        <v>2623</v>
      </c>
    </row>
    <row r="863" spans="1:10">
      <c r="A863" t="s">
        <v>1826</v>
      </c>
      <c r="B863" t="s">
        <v>1827</v>
      </c>
      <c r="C863" t="str">
        <f>LEFT(B863,FIND(" ",B863)-1)</f>
        <v>AirCase</v>
      </c>
      <c r="D863" t="str">
        <f>TRIM(RIGHT(E863,LEN(E863)-FIND("@",SUBSTITUTE(E863,"|","@",LEN(E863)-LEN(SUBSTITUTE(E863,"|",""))))))</f>
        <v>LaptopSleeves&amp;Slipcases</v>
      </c>
      <c r="E863" t="s">
        <v>1496</v>
      </c>
      <c r="F863">
        <v>449</v>
      </c>
      <c r="G863">
        <v>999</v>
      </c>
      <c r="H863" s="6">
        <v>55</v>
      </c>
      <c r="I863">
        <v>4.3</v>
      </c>
      <c r="J863" s="1">
        <v>9701</v>
      </c>
    </row>
    <row r="864" spans="1:10">
      <c r="A864" t="s">
        <v>1828</v>
      </c>
      <c r="B864" t="s">
        <v>1829</v>
      </c>
      <c r="C864" t="str">
        <f>LEFT(B864,FIND(" ",B864)-1)</f>
        <v>Faber-Castell</v>
      </c>
      <c r="D864" t="str">
        <f>TRIM(RIGHT(E864,LEN(E864)-FIND("@",SUBSTITUTE(E864,"|","@",LEN(E864)-LEN(SUBSTITUTE(E864,"|",""))))))</f>
        <v>ColouringPens&amp;Markers</v>
      </c>
      <c r="E864" t="s">
        <v>1830</v>
      </c>
      <c r="F864">
        <v>150</v>
      </c>
      <c r="G864">
        <v>150</v>
      </c>
      <c r="H864" s="6">
        <v>0</v>
      </c>
      <c r="I864">
        <v>4.3</v>
      </c>
      <c r="J864" s="1">
        <v>15867</v>
      </c>
    </row>
    <row r="865" spans="1:10">
      <c r="A865" t="s">
        <v>1831</v>
      </c>
      <c r="B865" t="s">
        <v>1832</v>
      </c>
      <c r="C865" t="str">
        <f>LEFT(B865,FIND(" ",B865)-1)</f>
        <v>Zinq</v>
      </c>
      <c r="D865" t="str">
        <f>TRIM(RIGHT(E865,LEN(E865)-FIND("@",SUBSTITUTE(E865,"|","@",LEN(E865)-LEN(SUBSTITUTE(E865,"|",""))))))</f>
        <v>Routers</v>
      </c>
      <c r="E865" t="s">
        <v>1328</v>
      </c>
      <c r="F865" s="1">
        <v>1199</v>
      </c>
      <c r="G865" s="1">
        <v>2999</v>
      </c>
      <c r="H865" s="6">
        <v>6</v>
      </c>
      <c r="I865">
        <v>4.0999999999999996</v>
      </c>
      <c r="J865" s="1">
        <v>10725</v>
      </c>
    </row>
    <row r="866" spans="1:10">
      <c r="A866" t="s">
        <v>1833</v>
      </c>
      <c r="B866" t="s">
        <v>1834</v>
      </c>
      <c r="C866" t="str">
        <f>LEFT(B866,FIND(" ",B866)-1)</f>
        <v>SaleOnâ„¢</v>
      </c>
      <c r="D866" t="str">
        <f>TRIM(RIGHT(E866,LEN(E866)-FIND("@",SUBSTITUTE(E866,"|","@",LEN(E866)-LEN(SUBSTITUTE(E866,"|",""))))))</f>
        <v>HardDiskBags</v>
      </c>
      <c r="E866" t="s">
        <v>1310</v>
      </c>
      <c r="F866">
        <v>397</v>
      </c>
      <c r="G866">
        <v>899</v>
      </c>
      <c r="H866" s="6">
        <v>56</v>
      </c>
      <c r="I866">
        <v>4</v>
      </c>
      <c r="J866" s="1">
        <v>3025</v>
      </c>
    </row>
    <row r="867" spans="1:10">
      <c r="A867" t="s">
        <v>1835</v>
      </c>
      <c r="B867" t="s">
        <v>1836</v>
      </c>
      <c r="C867" t="str">
        <f>LEFT(B867,FIND(" ",B867)-1)</f>
        <v>RPM</v>
      </c>
      <c r="D867" t="str">
        <f>TRIM(RIGHT(E867,LEN(E867)-FIND("@",SUBSTITUTE(E867,"|","@",LEN(E867)-LEN(SUBSTITUTE(E867,"|",""))))))</f>
        <v>Gamepads</v>
      </c>
      <c r="E867" t="s">
        <v>1452</v>
      </c>
      <c r="F867">
        <v>699</v>
      </c>
      <c r="G867" s="1">
        <v>1490</v>
      </c>
      <c r="H867" s="6">
        <v>53</v>
      </c>
      <c r="I867">
        <v>4</v>
      </c>
      <c r="J867" s="1">
        <v>5736</v>
      </c>
    </row>
    <row r="868" spans="1:10">
      <c r="A868" t="s">
        <v>1837</v>
      </c>
      <c r="B868" t="s">
        <v>1838</v>
      </c>
      <c r="C868" t="str">
        <f>LEFT(B868,FIND(" ",B868)-1)</f>
        <v>realme</v>
      </c>
      <c r="D868" t="str">
        <f>TRIM(RIGHT(E868,LEN(E868)-FIND("@",SUBSTITUTE(E868,"|","@",LEN(E868)-LEN(SUBSTITUTE(E868,"|",""))))))</f>
        <v>In-Ear</v>
      </c>
      <c r="E868" t="s">
        <v>747</v>
      </c>
      <c r="F868" s="1">
        <v>1679</v>
      </c>
      <c r="G868" s="1">
        <v>1999</v>
      </c>
      <c r="H868" s="6">
        <v>16</v>
      </c>
      <c r="I868">
        <v>4.0999999999999996</v>
      </c>
      <c r="J868" s="1">
        <v>72563</v>
      </c>
    </row>
    <row r="869" spans="1:10">
      <c r="A869" t="s">
        <v>1839</v>
      </c>
      <c r="B869" t="s">
        <v>1840</v>
      </c>
      <c r="C869" t="str">
        <f>LEFT(B869,FIND(" ",B869)-1)</f>
        <v>TVARA</v>
      </c>
      <c r="D869" t="str">
        <f>TRIM(RIGHT(E869,LEN(E869)-FIND("@",SUBSTITUTE(E869,"|","@",LEN(E869)-LEN(SUBSTITUTE(E869,"|",""))))))</f>
        <v>GraphicTablets</v>
      </c>
      <c r="E869" t="s">
        <v>1195</v>
      </c>
      <c r="F869">
        <v>354</v>
      </c>
      <c r="G869" s="1">
        <v>1500</v>
      </c>
      <c r="H869" s="6">
        <v>76</v>
      </c>
      <c r="I869">
        <v>4</v>
      </c>
      <c r="J869" s="1">
        <v>1026</v>
      </c>
    </row>
    <row r="870" spans="1:10">
      <c r="A870" t="s">
        <v>1841</v>
      </c>
      <c r="B870" t="s">
        <v>1842</v>
      </c>
      <c r="C870" t="str">
        <f>LEFT(B870,FIND(" ",B870)-1)</f>
        <v>Wings</v>
      </c>
      <c r="D870" t="str">
        <f>TRIM(RIGHT(E870,LEN(E870)-FIND("@",SUBSTITUTE(E870,"|","@",LEN(E870)-LEN(SUBSTITUTE(E870,"|",""))))))</f>
        <v>Headsets</v>
      </c>
      <c r="E870" t="s">
        <v>1843</v>
      </c>
      <c r="F870" s="1">
        <v>1199</v>
      </c>
      <c r="G870" s="1">
        <v>5499</v>
      </c>
      <c r="H870" s="6">
        <v>78</v>
      </c>
      <c r="I870">
        <v>3.8</v>
      </c>
      <c r="J870" s="1">
        <v>2043</v>
      </c>
    </row>
    <row r="871" spans="1:10">
      <c r="A871" t="s">
        <v>1844</v>
      </c>
      <c r="B871" t="s">
        <v>1845</v>
      </c>
      <c r="C871" t="str">
        <f>LEFT(B871,FIND(" ",B871)-1)</f>
        <v>Robustrion</v>
      </c>
      <c r="D871" t="str">
        <f>TRIM(RIGHT(E871,LEN(E871)-FIND("@",SUBSTITUTE(E871,"|","@",LEN(E871)-LEN(SUBSTITUTE(E871,"|",""))))))</f>
        <v>ScreenProtectors</v>
      </c>
      <c r="E871" t="s">
        <v>1449</v>
      </c>
      <c r="F871">
        <v>379</v>
      </c>
      <c r="G871" s="1">
        <v>1499</v>
      </c>
      <c r="H871" s="6">
        <v>75</v>
      </c>
      <c r="I871">
        <v>4.2</v>
      </c>
      <c r="J871" s="1">
        <v>4149</v>
      </c>
    </row>
    <row r="872" spans="1:10">
      <c r="A872" t="s">
        <v>1846</v>
      </c>
      <c r="B872" t="s">
        <v>1847</v>
      </c>
      <c r="C872" t="str">
        <f>LEFT(B872,FIND(" ",B872)-1)</f>
        <v>Cablet</v>
      </c>
      <c r="D872" t="str">
        <f>TRIM(RIGHT(E872,LEN(E872)-FIND("@",SUBSTITUTE(E872,"|","@",LEN(E872)-LEN(SUBSTITUTE(E872,"|",""))))))</f>
        <v>ExternalHardDisks</v>
      </c>
      <c r="E872" t="s">
        <v>1252</v>
      </c>
      <c r="F872">
        <v>499</v>
      </c>
      <c r="G872">
        <v>775</v>
      </c>
      <c r="H872" s="6">
        <v>36</v>
      </c>
      <c r="I872">
        <v>4.3</v>
      </c>
      <c r="J872">
        <v>74</v>
      </c>
    </row>
    <row r="873" spans="1:10">
      <c r="A873" t="s">
        <v>1848</v>
      </c>
      <c r="B873" t="s">
        <v>1849</v>
      </c>
      <c r="C873" t="str">
        <f>LEFT(B873,FIND(" ",B873)-1)</f>
        <v>SanDisk</v>
      </c>
      <c r="D873" t="str">
        <f>TRIM(RIGHT(E873,LEN(E873)-FIND("@",SUBSTITUTE(E873,"|","@",LEN(E873)-LEN(SUBSTITUTE(E873,"|",""))))))</f>
        <v>ExternalSolidStateDrives</v>
      </c>
      <c r="E873" t="s">
        <v>1850</v>
      </c>
      <c r="F873" s="1">
        <v>10389</v>
      </c>
      <c r="G873" s="1">
        <v>32000</v>
      </c>
      <c r="H873" s="6">
        <v>68</v>
      </c>
      <c r="I873">
        <v>4.4000000000000004</v>
      </c>
      <c r="J873" s="1">
        <v>41398</v>
      </c>
    </row>
    <row r="874" spans="1:10">
      <c r="A874" t="s">
        <v>1851</v>
      </c>
      <c r="B874" t="s">
        <v>1852</v>
      </c>
      <c r="C874" t="str">
        <f>LEFT(B874,FIND(" ",B874)-1)</f>
        <v>ZEBRONICS</v>
      </c>
      <c r="D874" t="str">
        <f>TRIM(RIGHT(E874,LEN(E874)-FIND("@",SUBSTITUTE(E874,"|","@",LEN(E874)-LEN(SUBSTITUTE(E874,"|",""))))))</f>
        <v>PCSpeakers</v>
      </c>
      <c r="E874" t="s">
        <v>1676</v>
      </c>
      <c r="F874">
        <v>649</v>
      </c>
      <c r="G874" s="1">
        <v>1300</v>
      </c>
      <c r="H874" s="6">
        <v>5</v>
      </c>
      <c r="I874">
        <v>4.0999999999999996</v>
      </c>
      <c r="J874" s="1">
        <v>5195</v>
      </c>
    </row>
    <row r="875" spans="1:10">
      <c r="A875" t="s">
        <v>1853</v>
      </c>
      <c r="B875" t="s">
        <v>1854</v>
      </c>
      <c r="C875" t="str">
        <f>LEFT(B875,FIND(" ",B875)-1)</f>
        <v>TP-Link</v>
      </c>
      <c r="D875" t="str">
        <f>TRIM(RIGHT(E875,LEN(E875)-FIND("@",SUBSTITUTE(E875,"|","@",LEN(E875)-LEN(SUBSTITUTE(E875,"|",""))))))</f>
        <v>PowerLANAdapters</v>
      </c>
      <c r="E875" t="s">
        <v>1855</v>
      </c>
      <c r="F875" s="1">
        <v>1199</v>
      </c>
      <c r="G875" s="1">
        <v>1999</v>
      </c>
      <c r="H875" s="6">
        <v>4</v>
      </c>
      <c r="I875">
        <v>4.5</v>
      </c>
      <c r="J875" s="1">
        <v>22420</v>
      </c>
    </row>
    <row r="876" spans="1:10">
      <c r="A876" t="s">
        <v>1856</v>
      </c>
      <c r="B876" t="s">
        <v>1857</v>
      </c>
      <c r="C876" t="str">
        <f>LEFT(B876,FIND(" ",B876)-1)</f>
        <v>Wecool</v>
      </c>
      <c r="D876" t="str">
        <f>TRIM(RIGHT(E876,LEN(E876)-FIND("@",SUBSTITUTE(E876,"|","@",LEN(E876)-LEN(SUBSTITUTE(E876,"|",""))))))</f>
        <v>In-Ear</v>
      </c>
      <c r="E876" t="s">
        <v>747</v>
      </c>
      <c r="F876">
        <v>889</v>
      </c>
      <c r="G876" s="1">
        <v>1999</v>
      </c>
      <c r="H876" s="6">
        <v>56</v>
      </c>
      <c r="I876">
        <v>4.2</v>
      </c>
      <c r="J876" s="1">
        <v>2284</v>
      </c>
    </row>
    <row r="877" spans="1:10">
      <c r="A877" t="s">
        <v>1858</v>
      </c>
      <c r="B877" t="s">
        <v>1859</v>
      </c>
      <c r="C877" t="str">
        <f>LEFT(B877,FIND(" ",B877)-1)</f>
        <v>HP</v>
      </c>
      <c r="D877" t="str">
        <f>TRIM(RIGHT(E877,LEN(E877)-FIND("@",SUBSTITUTE(E877,"|","@",LEN(E877)-LEN(SUBSTITUTE(E877,"|",""))))))</f>
        <v>Keyboard&amp;MouseSets</v>
      </c>
      <c r="E877" t="s">
        <v>1249</v>
      </c>
      <c r="F877" s="1">
        <v>1409</v>
      </c>
      <c r="G877" s="1">
        <v>2199</v>
      </c>
      <c r="H877" s="6">
        <v>36</v>
      </c>
      <c r="I877">
        <v>3.9</v>
      </c>
      <c r="J877">
        <v>427</v>
      </c>
    </row>
    <row r="878" spans="1:10">
      <c r="A878" t="s">
        <v>1860</v>
      </c>
      <c r="B878" t="s">
        <v>1861</v>
      </c>
      <c r="C878" t="str">
        <f>LEFT(B878,FIND(" ",B878)-1)</f>
        <v>RC</v>
      </c>
      <c r="D878" t="str">
        <f>TRIM(RIGHT(E878,LEN(E878)-FIND("@",SUBSTITUTE(E878,"|","@",LEN(E878)-LEN(SUBSTITUTE(E878,"|",""))))))</f>
        <v>InkjetInkRefills&amp;Kits</v>
      </c>
      <c r="E878" t="s">
        <v>1862</v>
      </c>
      <c r="F878">
        <v>549</v>
      </c>
      <c r="G878" s="1">
        <v>1999</v>
      </c>
      <c r="H878" s="6">
        <v>73</v>
      </c>
      <c r="I878">
        <v>4.3</v>
      </c>
      <c r="J878" s="1">
        <v>1367</v>
      </c>
    </row>
    <row r="879" spans="1:10">
      <c r="A879" t="s">
        <v>1863</v>
      </c>
      <c r="B879" t="s">
        <v>1864</v>
      </c>
      <c r="C879" t="str">
        <f>LEFT(B879,FIND(" ",B879)-1)</f>
        <v>Redgear</v>
      </c>
      <c r="D879" t="str">
        <f>TRIM(RIGHT(E879,LEN(E879)-FIND("@",SUBSTITUTE(E879,"|","@",LEN(E879)-LEN(SUBSTITUTE(E879,"|",""))))))</f>
        <v>Headsets</v>
      </c>
      <c r="E879" t="s">
        <v>1843</v>
      </c>
      <c r="F879">
        <v>749</v>
      </c>
      <c r="G879" s="1">
        <v>1799</v>
      </c>
      <c r="H879" s="6">
        <v>58</v>
      </c>
      <c r="I879">
        <v>4</v>
      </c>
      <c r="J879" s="1">
        <v>13199</v>
      </c>
    </row>
    <row r="880" spans="1:10">
      <c r="A880" t="s">
        <v>1865</v>
      </c>
      <c r="B880" t="s">
        <v>1866</v>
      </c>
      <c r="C880" t="str">
        <f>LEFT(B880,FIND(" ",B880)-1)</f>
        <v>Wayona</v>
      </c>
      <c r="D880" t="str">
        <f>TRIM(RIGHT(E880,LEN(E880)-FIND("@",SUBSTITUTE(E880,"|","@",LEN(E880)-LEN(SUBSTITUTE(E880,"|",""))))))</f>
        <v>USBCables</v>
      </c>
      <c r="E880" t="s">
        <v>23</v>
      </c>
      <c r="F880">
        <v>379</v>
      </c>
      <c r="G880" s="1">
        <v>1099</v>
      </c>
      <c r="H880" s="6">
        <v>66</v>
      </c>
      <c r="I880">
        <v>4.3</v>
      </c>
      <c r="J880" s="1">
        <v>2806</v>
      </c>
    </row>
    <row r="881" spans="1:10">
      <c r="A881" t="s">
        <v>1867</v>
      </c>
      <c r="B881" t="s">
        <v>1868</v>
      </c>
      <c r="C881" t="str">
        <f>LEFT(B881,FIND(" ",B881)-1)</f>
        <v>Amazfit</v>
      </c>
      <c r="D881" t="str">
        <f>TRIM(RIGHT(E881,LEN(E881)-FIND("@",SUBSTITUTE(E881,"|","@",LEN(E881)-LEN(SUBSTITUTE(E881,"|",""))))))</f>
        <v>SmartWatches</v>
      </c>
      <c r="E881" t="s">
        <v>714</v>
      </c>
      <c r="F881" s="1">
        <v>5998</v>
      </c>
      <c r="G881" s="1">
        <v>7999</v>
      </c>
      <c r="H881" s="6">
        <v>25</v>
      </c>
      <c r="I881">
        <v>4.2</v>
      </c>
      <c r="J881" s="1">
        <v>30355</v>
      </c>
    </row>
    <row r="882" spans="1:10">
      <c r="A882" t="s">
        <v>1869</v>
      </c>
      <c r="B882" t="s">
        <v>1870</v>
      </c>
      <c r="C882" t="str">
        <f>LEFT(B882,FIND(" ",B882)-1)</f>
        <v>TabelitoÂ®</v>
      </c>
      <c r="D882" t="str">
        <f>TRIM(RIGHT(E882,LEN(E882)-FIND("@",SUBSTITUTE(E882,"|","@",LEN(E882)-LEN(SUBSTITUTE(E882,"|",""))))))</f>
        <v>LaptopSleeves&amp;Slipcases</v>
      </c>
      <c r="E882" t="s">
        <v>1496</v>
      </c>
      <c r="F882">
        <v>299</v>
      </c>
      <c r="G882" s="1">
        <v>1499</v>
      </c>
      <c r="H882" s="6">
        <v>8</v>
      </c>
      <c r="I882">
        <v>4.2</v>
      </c>
      <c r="J882" s="1">
        <v>2868</v>
      </c>
    </row>
    <row r="883" spans="1:10">
      <c r="A883" t="s">
        <v>1871</v>
      </c>
      <c r="B883" t="s">
        <v>1872</v>
      </c>
      <c r="C883" t="str">
        <f>LEFT(B883,FIND(" ",B883)-1)</f>
        <v>Robustrion</v>
      </c>
      <c r="D883" t="str">
        <f>TRIM(RIGHT(E883,LEN(E883)-FIND("@",SUBSTITUTE(E883,"|","@",LEN(E883)-LEN(SUBSTITUTE(E883,"|",""))))))</f>
        <v>ScreenProtectors</v>
      </c>
      <c r="E883" t="s">
        <v>1449</v>
      </c>
      <c r="F883">
        <v>379</v>
      </c>
      <c r="G883" s="1">
        <v>1499</v>
      </c>
      <c r="H883" s="6">
        <v>75</v>
      </c>
      <c r="I883">
        <v>4.0999999999999996</v>
      </c>
      <c r="J883">
        <v>670</v>
      </c>
    </row>
    <row r="884" spans="1:10">
      <c r="A884" t="s">
        <v>1873</v>
      </c>
      <c r="B884" t="s">
        <v>1874</v>
      </c>
      <c r="C884" t="str">
        <f>LEFT(B884,FIND(" ",B884)-1)</f>
        <v>Portronics</v>
      </c>
      <c r="D884" t="str">
        <f>TRIM(RIGHT(E884,LEN(E884)-FIND("@",SUBSTITUTE(E884,"|","@",LEN(E884)-LEN(SUBSTITUTE(E884,"|",""))))))</f>
        <v>Notebooks,WritingPads&amp;Diaries</v>
      </c>
      <c r="E884" t="s">
        <v>1875</v>
      </c>
      <c r="F884" s="1">
        <v>1399</v>
      </c>
      <c r="G884" s="1">
        <v>2999</v>
      </c>
      <c r="H884" s="6">
        <v>53</v>
      </c>
      <c r="I884">
        <v>4.3</v>
      </c>
      <c r="J884" s="1">
        <v>3530</v>
      </c>
    </row>
    <row r="885" spans="1:10">
      <c r="A885" t="s">
        <v>1876</v>
      </c>
      <c r="B885" t="s">
        <v>1877</v>
      </c>
      <c r="C885" t="str">
        <f>LEFT(B885,FIND(" ",B885)-1)</f>
        <v>DIGITEKÂ®</v>
      </c>
      <c r="D885" t="str">
        <f>TRIM(RIGHT(E885,LEN(E885)-FIND("@",SUBSTITUTE(E885,"|","@",LEN(E885)-LEN(SUBSTITUTE(E885,"|",""))))))</f>
        <v>BackgroundSupports</v>
      </c>
      <c r="E885" t="s">
        <v>1878</v>
      </c>
      <c r="F885">
        <v>699</v>
      </c>
      <c r="G885" s="1">
        <v>1299</v>
      </c>
      <c r="H885" s="6">
        <v>46</v>
      </c>
      <c r="I885">
        <v>4.3</v>
      </c>
      <c r="J885" s="1">
        <v>6183</v>
      </c>
    </row>
    <row r="886" spans="1:10">
      <c r="A886" t="s">
        <v>1879</v>
      </c>
      <c r="B886" t="s">
        <v>1880</v>
      </c>
      <c r="C886" t="str">
        <f>LEFT(B886,FIND(" ",B886)-1)</f>
        <v>Classmate</v>
      </c>
      <c r="D886" t="str">
        <f>TRIM(RIGHT(E886,LEN(E886)-FIND("@",SUBSTITUTE(E886,"|","@",LEN(E886)-LEN(SUBSTITUTE(E886,"|",""))))))</f>
        <v>CompositionNotebooks</v>
      </c>
      <c r="E886" t="s">
        <v>1514</v>
      </c>
      <c r="F886">
        <v>300</v>
      </c>
      <c r="G886">
        <v>300</v>
      </c>
      <c r="H886" s="6">
        <v>0</v>
      </c>
      <c r="I886">
        <v>4.2</v>
      </c>
      <c r="J886">
        <v>419</v>
      </c>
    </row>
    <row r="887" spans="1:10">
      <c r="A887" t="s">
        <v>1881</v>
      </c>
      <c r="B887" t="s">
        <v>1882</v>
      </c>
      <c r="C887" t="str">
        <f>LEFT(B887,FIND(" ",B887)-1)</f>
        <v>Scarters</v>
      </c>
      <c r="D887" t="str">
        <f>TRIM(RIGHT(E887,LEN(E887)-FIND("@",SUBSTITUTE(E887,"|","@",LEN(E887)-LEN(SUBSTITUTE(E887,"|",""))))))</f>
        <v>MousePads</v>
      </c>
      <c r="E887" t="s">
        <v>1307</v>
      </c>
      <c r="F887">
        <v>999</v>
      </c>
      <c r="G887" s="1">
        <v>1995</v>
      </c>
      <c r="H887" s="6">
        <v>5</v>
      </c>
      <c r="I887">
        <v>4.5</v>
      </c>
      <c r="J887" s="1">
        <v>7317</v>
      </c>
    </row>
    <row r="888" spans="1:10">
      <c r="A888" t="s">
        <v>1883</v>
      </c>
      <c r="B888" t="s">
        <v>1884</v>
      </c>
      <c r="C888" t="str">
        <f>LEFT(B888,FIND(" ",B888)-1)</f>
        <v>Casio</v>
      </c>
      <c r="D888" t="str">
        <f>TRIM(RIGHT(E888,LEN(E888)-FIND("@",SUBSTITUTE(E888,"|","@",LEN(E888)-LEN(SUBSTITUTE(E888,"|",""))))))</f>
        <v>Financial&amp;Business</v>
      </c>
      <c r="E888" t="s">
        <v>1885</v>
      </c>
      <c r="F888">
        <v>535</v>
      </c>
      <c r="G888">
        <v>535</v>
      </c>
      <c r="H888" s="6">
        <v>0</v>
      </c>
      <c r="I888">
        <v>4.4000000000000004</v>
      </c>
      <c r="J888" s="1">
        <v>4426</v>
      </c>
    </row>
    <row r="889" spans="1:10">
      <c r="A889" t="s">
        <v>158</v>
      </c>
      <c r="B889" t="s">
        <v>159</v>
      </c>
      <c r="C889" t="str">
        <f>LEFT(B889,FIND(" ",B889)-1)</f>
        <v>Redmi</v>
      </c>
      <c r="D889" t="str">
        <f>TRIM(RIGHT(E889,LEN(E889)-FIND("@",SUBSTITUTE(E889,"|","@",LEN(E889)-LEN(SUBSTITUTE(E889,"|",""))))))</f>
        <v>SmartTelevisions</v>
      </c>
      <c r="E889" t="s">
        <v>60</v>
      </c>
      <c r="F889" s="1">
        <v>13999</v>
      </c>
      <c r="G889" s="1">
        <v>24999</v>
      </c>
      <c r="H889" s="6">
        <v>44</v>
      </c>
      <c r="I889">
        <v>4.2</v>
      </c>
      <c r="J889" s="1">
        <v>45237</v>
      </c>
    </row>
    <row r="890" spans="1:10">
      <c r="A890" t="s">
        <v>1886</v>
      </c>
      <c r="B890" t="s">
        <v>1887</v>
      </c>
      <c r="C890" t="str">
        <f>LEFT(B890,FIND(" ",B890)-1)</f>
        <v>Gizga</v>
      </c>
      <c r="D890" t="str">
        <f>TRIM(RIGHT(E890,LEN(E890)-FIND("@",SUBSTITUTE(E890,"|","@",LEN(E890)-LEN(SUBSTITUTE(E890,"|",""))))))</f>
        <v>LaptopSleeves&amp;Slipcases</v>
      </c>
      <c r="E890" t="s">
        <v>1496</v>
      </c>
      <c r="F890">
        <v>269</v>
      </c>
      <c r="G890" s="1">
        <v>1099</v>
      </c>
      <c r="H890" s="6">
        <v>76</v>
      </c>
      <c r="I890">
        <v>4.0999999999999996</v>
      </c>
      <c r="J890" s="1">
        <v>1092</v>
      </c>
    </row>
    <row r="891" spans="1:10">
      <c r="A891" t="s">
        <v>1888</v>
      </c>
      <c r="B891" t="s">
        <v>1889</v>
      </c>
      <c r="C891" t="str">
        <f>LEFT(B891,FIND(" ",B891)-1)</f>
        <v>Parker</v>
      </c>
      <c r="D891" t="str">
        <f>TRIM(RIGHT(E891,LEN(E891)-FIND("@",SUBSTITUTE(E891,"|","@",LEN(E891)-LEN(SUBSTITUTE(E891,"|",""))))))</f>
        <v>StickBallpointPens</v>
      </c>
      <c r="E891" t="s">
        <v>1691</v>
      </c>
      <c r="F891">
        <v>341</v>
      </c>
      <c r="G891">
        <v>450</v>
      </c>
      <c r="H891" s="6">
        <v>24</v>
      </c>
      <c r="I891">
        <v>4.3</v>
      </c>
      <c r="J891" s="1">
        <v>2493</v>
      </c>
    </row>
    <row r="892" spans="1:10">
      <c r="A892" t="s">
        <v>1890</v>
      </c>
      <c r="B892" t="s">
        <v>1891</v>
      </c>
      <c r="C892" t="str">
        <f>LEFT(B892,FIND(" ",B892)-1)</f>
        <v>TP-Link</v>
      </c>
      <c r="D892" t="str">
        <f>TRIM(RIGHT(E892,LEN(E892)-FIND("@",SUBSTITUTE(E892,"|","@",LEN(E892)-LEN(SUBSTITUTE(E892,"|",""))))))</f>
        <v>Routers</v>
      </c>
      <c r="E892" t="s">
        <v>1328</v>
      </c>
      <c r="F892" s="1">
        <v>2499</v>
      </c>
      <c r="G892" s="1">
        <v>3999</v>
      </c>
      <c r="H892" s="6">
        <v>38</v>
      </c>
      <c r="I892">
        <v>4.4000000000000004</v>
      </c>
      <c r="J892" s="1">
        <v>12679</v>
      </c>
    </row>
    <row r="893" spans="1:10">
      <c r="A893" t="s">
        <v>1892</v>
      </c>
      <c r="B893" t="s">
        <v>1893</v>
      </c>
      <c r="C893" t="str">
        <f>LEFT(B893,FIND(" ",B893)-1)</f>
        <v>HP</v>
      </c>
      <c r="D893" t="str">
        <f>TRIM(RIGHT(E893,LEN(E893)-FIND("@",SUBSTITUTE(E893,"|","@",LEN(E893)-LEN(SUBSTITUTE(E893,"|",""))))))</f>
        <v>Printers</v>
      </c>
      <c r="E893" t="s">
        <v>1734</v>
      </c>
      <c r="F893" s="1">
        <v>5899</v>
      </c>
      <c r="G893" s="1">
        <v>7005</v>
      </c>
      <c r="H893" s="6">
        <v>16</v>
      </c>
      <c r="I893">
        <v>3.6</v>
      </c>
      <c r="J893" s="1">
        <v>4199</v>
      </c>
    </row>
    <row r="894" spans="1:10">
      <c r="A894" t="s">
        <v>1131</v>
      </c>
      <c r="B894" t="s">
        <v>1132</v>
      </c>
      <c r="C894" t="str">
        <f>LEFT(B894,FIND(" ",B894)-1)</f>
        <v>Oraimo</v>
      </c>
      <c r="D894" t="str">
        <f>TRIM(RIGHT(E894,LEN(E894)-FIND("@",SUBSTITUTE(E894,"|","@",LEN(E894)-LEN(SUBSTITUTE(E894,"|",""))))))</f>
        <v>WallChargers</v>
      </c>
      <c r="E894" t="s">
        <v>774</v>
      </c>
      <c r="F894">
        <v>699</v>
      </c>
      <c r="G894" s="1">
        <v>1199</v>
      </c>
      <c r="H894" s="6">
        <v>42</v>
      </c>
      <c r="I894">
        <v>4</v>
      </c>
      <c r="J894" s="1">
        <v>14403</v>
      </c>
    </row>
    <row r="895" spans="1:10">
      <c r="A895" t="s">
        <v>1894</v>
      </c>
      <c r="B895" t="s">
        <v>1895</v>
      </c>
      <c r="C895" t="str">
        <f>LEFT(B895,FIND(" ",B895)-1)</f>
        <v>Xiaomi</v>
      </c>
      <c r="D895" t="str">
        <f>TRIM(RIGHT(E895,LEN(E895)-FIND("@",SUBSTITUTE(E895,"|","@",LEN(E895)-LEN(SUBSTITUTE(E895,"|",""))))))</f>
        <v>Routers</v>
      </c>
      <c r="E895" t="s">
        <v>1328</v>
      </c>
      <c r="F895" s="1">
        <v>1565</v>
      </c>
      <c r="G895" s="1">
        <v>2999</v>
      </c>
      <c r="H895" s="6">
        <v>48</v>
      </c>
      <c r="I895">
        <v>4</v>
      </c>
      <c r="J895" s="1">
        <v>11113</v>
      </c>
    </row>
    <row r="896" spans="1:10">
      <c r="A896" t="s">
        <v>1896</v>
      </c>
      <c r="B896" t="s">
        <v>1897</v>
      </c>
      <c r="C896" t="str">
        <f>LEFT(B896,FIND(" ",B896)-1)</f>
        <v>SLOVICÂ®</v>
      </c>
      <c r="D896" t="str">
        <f>TRIM(RIGHT(E896,LEN(E896)-FIND("@",SUBSTITUTE(E896,"|","@",LEN(E896)-LEN(SUBSTITUTE(E896,"|",""))))))</f>
        <v>Tabletop&amp;TravelTripods</v>
      </c>
      <c r="E896" t="s">
        <v>1262</v>
      </c>
      <c r="F896">
        <v>326</v>
      </c>
      <c r="G896">
        <v>799</v>
      </c>
      <c r="H896" s="6">
        <v>59</v>
      </c>
      <c r="I896">
        <v>4.4000000000000004</v>
      </c>
      <c r="J896" s="1">
        <v>10773</v>
      </c>
    </row>
    <row r="897" spans="1:10">
      <c r="A897" t="s">
        <v>1898</v>
      </c>
      <c r="B897" t="s">
        <v>1899</v>
      </c>
      <c r="C897" t="str">
        <f>LEFT(B897,FIND(" ",B897)-1)</f>
        <v>Orico</v>
      </c>
      <c r="D897" t="str">
        <f>TRIM(RIGHT(E897,LEN(E897)-FIND("@",SUBSTITUTE(E897,"|","@",LEN(E897)-LEN(SUBSTITUTE(E897,"|",""))))))</f>
        <v>ExternalHardDisks</v>
      </c>
      <c r="E897" t="s">
        <v>1252</v>
      </c>
      <c r="F897">
        <v>657</v>
      </c>
      <c r="G897">
        <v>999</v>
      </c>
      <c r="H897" s="6">
        <v>34</v>
      </c>
      <c r="I897">
        <v>4.3</v>
      </c>
      <c r="J897" s="1">
        <v>13944</v>
      </c>
    </row>
    <row r="898" spans="1:10">
      <c r="A898" t="s">
        <v>1900</v>
      </c>
      <c r="B898" t="s">
        <v>1901</v>
      </c>
      <c r="C898" t="str">
        <f>LEFT(B898,FIND(" ",B898)-1)</f>
        <v>Logitech</v>
      </c>
      <c r="D898" t="str">
        <f>TRIM(RIGHT(E898,LEN(E898)-FIND("@",SUBSTITUTE(E898,"|","@",LEN(E898)-LEN(SUBSTITUTE(E898,"|",""))))))</f>
        <v>GamingMice</v>
      </c>
      <c r="E898" t="s">
        <v>1301</v>
      </c>
      <c r="F898" s="1">
        <v>1995</v>
      </c>
      <c r="G898" s="1">
        <v>2895</v>
      </c>
      <c r="H898" s="6">
        <v>31</v>
      </c>
      <c r="I898">
        <v>4.5999999999999996</v>
      </c>
      <c r="J898" s="1">
        <v>10760</v>
      </c>
    </row>
    <row r="899" spans="1:10">
      <c r="A899" t="s">
        <v>1902</v>
      </c>
      <c r="B899" t="s">
        <v>1903</v>
      </c>
      <c r="C899" t="str">
        <f>LEFT(B899,FIND(" ",B899)-1)</f>
        <v>Panasonic</v>
      </c>
      <c r="D899" t="str">
        <f>TRIM(RIGHT(E899,LEN(E899)-FIND("@",SUBSTITUTE(E899,"|","@",LEN(E899)-LEN(SUBSTITUTE(E899,"|",""))))))</f>
        <v>GeneralPurposeBatteries&amp;BatteryChargers</v>
      </c>
      <c r="E899" t="s">
        <v>1348</v>
      </c>
      <c r="F899" s="1">
        <v>1500</v>
      </c>
      <c r="G899" s="1">
        <v>1500</v>
      </c>
      <c r="H899" s="6">
        <v>0</v>
      </c>
      <c r="I899">
        <v>4.4000000000000004</v>
      </c>
      <c r="J899" s="1">
        <v>25996</v>
      </c>
    </row>
    <row r="900" spans="1:10">
      <c r="A900" t="s">
        <v>1904</v>
      </c>
      <c r="B900" t="s">
        <v>1905</v>
      </c>
      <c r="C900" t="str">
        <f>LEFT(B900,FIND(" ",B900)-1)</f>
        <v>Logitech</v>
      </c>
      <c r="D900" t="str">
        <f>TRIM(RIGHT(E900,LEN(E900)-FIND("@",SUBSTITUTE(E900,"|","@",LEN(E900)-LEN(SUBSTITUTE(E900,"|",""))))))</f>
        <v>Keyboards</v>
      </c>
      <c r="E900" t="s">
        <v>1228</v>
      </c>
      <c r="F900" s="1">
        <v>2640</v>
      </c>
      <c r="G900" s="1">
        <v>3195</v>
      </c>
      <c r="H900" s="6">
        <v>17</v>
      </c>
      <c r="I900">
        <v>4.5</v>
      </c>
      <c r="J900" s="1">
        <v>16146</v>
      </c>
    </row>
    <row r="901" spans="1:10">
      <c r="A901" t="s">
        <v>1906</v>
      </c>
      <c r="B901" t="s">
        <v>1907</v>
      </c>
      <c r="C901" t="str">
        <f>LEFT(B901,FIND(" ",B901)-1)</f>
        <v>Canon</v>
      </c>
      <c r="D901" t="str">
        <f>TRIM(RIGHT(E901,LEN(E901)-FIND("@",SUBSTITUTE(E901,"|","@",LEN(E901)-LEN(SUBSTITUTE(E901,"|",""))))))</f>
        <v>Printers</v>
      </c>
      <c r="E901" t="s">
        <v>1734</v>
      </c>
      <c r="F901" s="1">
        <v>5299</v>
      </c>
      <c r="G901" s="1">
        <v>6355</v>
      </c>
      <c r="H901" s="6">
        <v>17</v>
      </c>
      <c r="I901">
        <v>3.9</v>
      </c>
      <c r="J901" s="1">
        <v>8280</v>
      </c>
    </row>
    <row r="902" spans="1:10">
      <c r="A902" t="s">
        <v>1908</v>
      </c>
      <c r="B902" t="s">
        <v>1909</v>
      </c>
      <c r="C902" t="str">
        <f>LEFT(B902,FIND(" ",B902)-1)</f>
        <v>Redgear</v>
      </c>
      <c r="D902" t="str">
        <f>TRIM(RIGHT(E902,LEN(E902)-FIND("@",SUBSTITUTE(E902,"|","@",LEN(E902)-LEN(SUBSTITUTE(E902,"|",""))))))</f>
        <v>Headsets</v>
      </c>
      <c r="E902" t="s">
        <v>1843</v>
      </c>
      <c r="F902" s="1">
        <v>1990</v>
      </c>
      <c r="G902" s="1">
        <v>2999</v>
      </c>
      <c r="H902" s="6">
        <v>34</v>
      </c>
      <c r="I902">
        <v>4.3</v>
      </c>
      <c r="J902" s="1">
        <v>14237</v>
      </c>
    </row>
    <row r="903" spans="1:10">
      <c r="A903" t="s">
        <v>1910</v>
      </c>
      <c r="B903" t="s">
        <v>1911</v>
      </c>
      <c r="C903" t="str">
        <f>LEFT(B903,FIND(" ",B903)-1)</f>
        <v>Belkin</v>
      </c>
      <c r="D903" t="str">
        <f>TRIM(RIGHT(E903,LEN(E903)-FIND("@",SUBSTITUTE(E903,"|","@",LEN(E903)-LEN(SUBSTITUTE(E903,"|",""))))))</f>
        <v>SurgeProtectors</v>
      </c>
      <c r="E903" t="s">
        <v>1912</v>
      </c>
      <c r="F903" s="1">
        <v>1289</v>
      </c>
      <c r="G903" s="1">
        <v>1499</v>
      </c>
      <c r="H903" s="6">
        <v>14</v>
      </c>
      <c r="I903">
        <v>4.5</v>
      </c>
      <c r="J903" s="1">
        <v>20668</v>
      </c>
    </row>
    <row r="904" spans="1:10">
      <c r="A904" t="s">
        <v>1913</v>
      </c>
      <c r="B904" t="s">
        <v>1914</v>
      </c>
      <c r="C904" t="str">
        <f>LEFT(B904,FIND(" ",B904)-1)</f>
        <v>Classmate</v>
      </c>
      <c r="D904" t="str">
        <f>TRIM(RIGHT(E904,LEN(E904)-FIND("@",SUBSTITUTE(E904,"|","@",LEN(E904)-LEN(SUBSTITUTE(E904,"|",""))))))</f>
        <v>CompositionNotebooks</v>
      </c>
      <c r="E904" t="s">
        <v>1514</v>
      </c>
      <c r="F904">
        <v>165</v>
      </c>
      <c r="G904">
        <v>165</v>
      </c>
      <c r="H904" s="6">
        <v>0</v>
      </c>
      <c r="I904">
        <v>4.5</v>
      </c>
      <c r="J904" s="1">
        <v>1674</v>
      </c>
    </row>
    <row r="905" spans="1:10">
      <c r="A905" t="s">
        <v>1915</v>
      </c>
      <c r="B905" t="s">
        <v>1916</v>
      </c>
      <c r="C905" t="str">
        <f>LEFT(B905,FIND(" ",B905)-1)</f>
        <v>Artis</v>
      </c>
      <c r="D905" t="str">
        <f>TRIM(RIGHT(E905,LEN(E905)-FIND("@",SUBSTITUTE(E905,"|","@",LEN(E905)-LEN(SUBSTITUTE(E905,"|",""))))))</f>
        <v>LaptopChargers&amp;PowerSupplies</v>
      </c>
      <c r="E905" t="s">
        <v>1653</v>
      </c>
      <c r="F905" s="1">
        <v>1699</v>
      </c>
      <c r="G905" s="1">
        <v>3499</v>
      </c>
      <c r="H905" s="6">
        <v>51</v>
      </c>
      <c r="I905">
        <v>3.6</v>
      </c>
      <c r="J905" s="1">
        <v>7689</v>
      </c>
    </row>
    <row r="906" spans="1:10">
      <c r="A906" t="s">
        <v>1917</v>
      </c>
      <c r="B906" t="s">
        <v>1918</v>
      </c>
      <c r="C906" t="str">
        <f>LEFT(B906,FIND(" ",B906)-1)</f>
        <v>Imou</v>
      </c>
      <c r="D906" t="str">
        <f>TRIM(RIGHT(E906,LEN(E906)-FIND("@",SUBSTITUTE(E906,"|","@",LEN(E906)-LEN(SUBSTITUTE(E906,"|",""))))))</f>
        <v>DomeCameras</v>
      </c>
      <c r="E906" t="s">
        <v>1430</v>
      </c>
      <c r="F906" s="1">
        <v>2299</v>
      </c>
      <c r="G906" s="1">
        <v>7500</v>
      </c>
      <c r="H906" s="6">
        <v>69</v>
      </c>
      <c r="I906">
        <v>4.0999999999999996</v>
      </c>
      <c r="J906" s="1">
        <v>5554</v>
      </c>
    </row>
    <row r="907" spans="1:10">
      <c r="A907" t="s">
        <v>1919</v>
      </c>
      <c r="B907" t="s">
        <v>1920</v>
      </c>
      <c r="C907" t="str">
        <f>LEFT(B907,FIND(" ",B907)-1)</f>
        <v>E-COSMOS</v>
      </c>
      <c r="D907" t="str">
        <f>TRIM(RIGHT(E907,LEN(E907)-FIND("@",SUBSTITUTE(E907,"|","@",LEN(E907)-LEN(SUBSTITUTE(E907,"|",""))))))</f>
        <v>Lamps</v>
      </c>
      <c r="E907" t="s">
        <v>1413</v>
      </c>
      <c r="F907">
        <v>39</v>
      </c>
      <c r="G907">
        <v>39</v>
      </c>
      <c r="H907" s="6">
        <v>0</v>
      </c>
      <c r="I907">
        <v>3.8</v>
      </c>
      <c r="J907" s="1">
        <v>3344</v>
      </c>
    </row>
    <row r="908" spans="1:10">
      <c r="A908" t="s">
        <v>1921</v>
      </c>
      <c r="B908" t="s">
        <v>1922</v>
      </c>
      <c r="C908" t="str">
        <f>LEFT(B908,FIND(" ",B908)-1)</f>
        <v>Xiaomi</v>
      </c>
      <c r="D908" t="str">
        <f>TRIM(RIGHT(E908,LEN(E908)-FIND("@",SUBSTITUTE(E908,"|","@",LEN(E908)-LEN(SUBSTITUTE(E908,"|",""))))))</f>
        <v>Tablets</v>
      </c>
      <c r="E908" t="s">
        <v>1923</v>
      </c>
      <c r="F908" s="1">
        <v>26999</v>
      </c>
      <c r="G908" s="1">
        <v>37999</v>
      </c>
      <c r="H908" s="6">
        <v>29</v>
      </c>
      <c r="I908">
        <v>4.5999999999999996</v>
      </c>
      <c r="J908" s="1">
        <v>2886</v>
      </c>
    </row>
    <row r="909" spans="1:10">
      <c r="A909" t="s">
        <v>1924</v>
      </c>
      <c r="B909" t="s">
        <v>1925</v>
      </c>
      <c r="C909" t="str">
        <f>LEFT(B909,FIND(" ",B909)-1)</f>
        <v>Sennheiser</v>
      </c>
      <c r="D909" t="str">
        <f>TRIM(RIGHT(E909,LEN(E909)-FIND("@",SUBSTITUTE(E909,"|","@",LEN(E909)-LEN(SUBSTITUTE(E909,"|",""))))))</f>
        <v>In-Ear</v>
      </c>
      <c r="E909" t="s">
        <v>747</v>
      </c>
      <c r="F909" s="1">
        <v>1490</v>
      </c>
      <c r="G909" s="1">
        <v>1990</v>
      </c>
      <c r="H909" s="6">
        <v>25</v>
      </c>
      <c r="I909">
        <v>4.0999999999999996</v>
      </c>
      <c r="J909" s="1">
        <v>98250</v>
      </c>
    </row>
    <row r="910" spans="1:10">
      <c r="A910" t="s">
        <v>1926</v>
      </c>
      <c r="B910" t="s">
        <v>1927</v>
      </c>
      <c r="C910" t="str">
        <f>LEFT(B910,FIND(" ",B910)-1)</f>
        <v>HB</v>
      </c>
      <c r="D910" t="str">
        <f>TRIM(RIGHT(E910,LEN(E910)-FIND("@",SUBSTITUTE(E910,"|","@",LEN(E910)-LEN(SUBSTITUTE(E910,"|",""))))))</f>
        <v>Lapdesks</v>
      </c>
      <c r="E910" t="s">
        <v>1201</v>
      </c>
      <c r="F910">
        <v>398</v>
      </c>
      <c r="G910" s="1">
        <v>1949</v>
      </c>
      <c r="H910" s="6">
        <v>8</v>
      </c>
      <c r="I910">
        <v>4</v>
      </c>
      <c r="J910">
        <v>75</v>
      </c>
    </row>
    <row r="911" spans="1:10">
      <c r="A911" t="s">
        <v>1928</v>
      </c>
      <c r="B911" t="s">
        <v>1929</v>
      </c>
      <c r="C911" t="str">
        <f>LEFT(B911,FIND(" ",B911)-1)</f>
        <v>HP</v>
      </c>
      <c r="D911" t="str">
        <f>TRIM(RIGHT(E911,LEN(E911)-FIND("@",SUBSTITUTE(E911,"|","@",LEN(E911)-LEN(SUBSTITUTE(E911,"|",""))))))</f>
        <v>LaptopChargers&amp;PowerSupplies</v>
      </c>
      <c r="E911" t="s">
        <v>1653</v>
      </c>
      <c r="F911">
        <v>770</v>
      </c>
      <c r="G911" s="1">
        <v>1547</v>
      </c>
      <c r="H911" s="6">
        <v>5</v>
      </c>
      <c r="I911">
        <v>4.3</v>
      </c>
      <c r="J911" s="1">
        <v>2585</v>
      </c>
    </row>
    <row r="912" spans="1:10">
      <c r="A912" t="s">
        <v>1930</v>
      </c>
      <c r="B912" t="s">
        <v>1931</v>
      </c>
      <c r="C912" t="str">
        <f>LEFT(B912,FIND(" ",B912)-1)</f>
        <v>Tukzer</v>
      </c>
      <c r="D912" t="str">
        <f>TRIM(RIGHT(E912,LEN(E912)-FIND("@",SUBSTITUTE(E912,"|","@",LEN(E912)-LEN(SUBSTITUTE(E912,"|",""))))))</f>
        <v>Stands</v>
      </c>
      <c r="E912" t="s">
        <v>855</v>
      </c>
      <c r="F912">
        <v>279</v>
      </c>
      <c r="G912" s="1">
        <v>1299</v>
      </c>
      <c r="H912" s="6">
        <v>79</v>
      </c>
      <c r="I912">
        <v>4</v>
      </c>
      <c r="J912" s="1">
        <v>5072</v>
      </c>
    </row>
    <row r="913" spans="1:10">
      <c r="A913" t="s">
        <v>1932</v>
      </c>
      <c r="B913" t="s">
        <v>1933</v>
      </c>
      <c r="C913" t="str">
        <f>LEFT(B913,FIND(" ",B913)-1)</f>
        <v>Gizga</v>
      </c>
      <c r="D913" t="str">
        <f>TRIM(RIGHT(E913,LEN(E913)-FIND("@",SUBSTITUTE(E913,"|","@",LEN(E913)-LEN(SUBSTITUTE(E913,"|",""))))))</f>
        <v>CordManagement</v>
      </c>
      <c r="E913" t="s">
        <v>1934</v>
      </c>
      <c r="F913">
        <v>249</v>
      </c>
      <c r="G913">
        <v>599</v>
      </c>
      <c r="H913" s="6">
        <v>58</v>
      </c>
      <c r="I913">
        <v>4.5</v>
      </c>
      <c r="J913" s="1">
        <v>5985</v>
      </c>
    </row>
    <row r="914" spans="1:10">
      <c r="A914" t="s">
        <v>1935</v>
      </c>
      <c r="B914" t="s">
        <v>1936</v>
      </c>
      <c r="C914" t="str">
        <f>LEFT(B914,FIND(" ",B914)-1)</f>
        <v>Camel</v>
      </c>
      <c r="D914" t="str">
        <f>TRIM(RIGHT(E914,LEN(E914)-FIND("@",SUBSTITUTE(E914,"|","@",LEN(E914)-LEN(SUBSTITUTE(E914,"|",""))))))</f>
        <v>PaintingMaterials</v>
      </c>
      <c r="E914" t="s">
        <v>1937</v>
      </c>
      <c r="F914">
        <v>230</v>
      </c>
      <c r="G914">
        <v>230</v>
      </c>
      <c r="H914" s="6">
        <v>0</v>
      </c>
      <c r="I914">
        <v>4.5</v>
      </c>
      <c r="J914" s="1">
        <v>9427</v>
      </c>
    </row>
    <row r="915" spans="1:10">
      <c r="A915" t="s">
        <v>1938</v>
      </c>
      <c r="B915" t="s">
        <v>1939</v>
      </c>
      <c r="C915" t="str">
        <f>LEFT(B915,FIND(" ",B915)-1)</f>
        <v>HP</v>
      </c>
      <c r="D915" t="str">
        <f>TRIM(RIGHT(E915,LEN(E915)-FIND("@",SUBSTITUTE(E915,"|","@",LEN(E915)-LEN(SUBSTITUTE(E915,"|",""))))))</f>
        <v>GamingMice</v>
      </c>
      <c r="E915" t="s">
        <v>1301</v>
      </c>
      <c r="F915">
        <v>599</v>
      </c>
      <c r="G915">
        <v>700</v>
      </c>
      <c r="H915" s="6">
        <v>14</v>
      </c>
      <c r="I915">
        <v>4.3</v>
      </c>
      <c r="J915" s="1">
        <v>2301</v>
      </c>
    </row>
    <row r="916" spans="1:10">
      <c r="A916" t="s">
        <v>1940</v>
      </c>
      <c r="B916" t="s">
        <v>1941</v>
      </c>
      <c r="C916" t="str">
        <f>LEFT(B916,FIND(" ",B916)-1)</f>
        <v>Foxin</v>
      </c>
      <c r="D916" t="str">
        <f>TRIM(RIGHT(E916,LEN(E916)-FIND("@",SUBSTITUTE(E916,"|","@",LEN(E916)-LEN(SUBSTITUTE(E916,"|",""))))))</f>
        <v>TonerCartridges</v>
      </c>
      <c r="E916" t="s">
        <v>1942</v>
      </c>
      <c r="F916">
        <v>598</v>
      </c>
      <c r="G916" s="1">
        <v>1150</v>
      </c>
      <c r="H916" s="6">
        <v>48</v>
      </c>
      <c r="I916">
        <v>4.0999999999999996</v>
      </c>
      <c r="J916" s="1">
        <v>2535</v>
      </c>
    </row>
    <row r="917" spans="1:10">
      <c r="A917" t="s">
        <v>1943</v>
      </c>
      <c r="B917" t="s">
        <v>1944</v>
      </c>
      <c r="C917" t="str">
        <f>LEFT(B917,FIND(" ",B917)-1)</f>
        <v>Robustrion</v>
      </c>
      <c r="D917" t="str">
        <f>TRIM(RIGHT(E917,LEN(E917)-FIND("@",SUBSTITUTE(E917,"|","@",LEN(E917)-LEN(SUBSTITUTE(E917,"|",""))))))</f>
        <v>ScreenProtectors</v>
      </c>
      <c r="E917" t="s">
        <v>1449</v>
      </c>
      <c r="F917">
        <v>399</v>
      </c>
      <c r="G917" s="1">
        <v>1499</v>
      </c>
      <c r="H917" s="6">
        <v>73</v>
      </c>
      <c r="I917">
        <v>4</v>
      </c>
      <c r="J917">
        <v>691</v>
      </c>
    </row>
    <row r="918" spans="1:10">
      <c r="A918" t="s">
        <v>1945</v>
      </c>
      <c r="B918" t="s">
        <v>1946</v>
      </c>
      <c r="C918" t="str">
        <f>LEFT(B918,FIND(" ",B918)-1)</f>
        <v>PC</v>
      </c>
      <c r="D918" t="str">
        <f>TRIM(RIGHT(E918,LEN(E918)-FIND("@",SUBSTITUTE(E918,"|","@",LEN(E918)-LEN(SUBSTITUTE(E918,"|",""))))))</f>
        <v>Lapdesks</v>
      </c>
      <c r="E918" t="s">
        <v>1201</v>
      </c>
      <c r="F918">
        <v>499</v>
      </c>
      <c r="G918" s="1">
        <v>1299</v>
      </c>
      <c r="H918" s="6">
        <v>62</v>
      </c>
      <c r="I918">
        <v>4.0999999999999996</v>
      </c>
      <c r="J918" s="1">
        <v>2740</v>
      </c>
    </row>
    <row r="919" spans="1:10">
      <c r="A919" t="s">
        <v>1947</v>
      </c>
      <c r="B919" t="s">
        <v>1948</v>
      </c>
      <c r="C919" t="str">
        <f>LEFT(B919,FIND(" ",B919)-1)</f>
        <v>Lenovo</v>
      </c>
      <c r="D919" t="str">
        <f>TRIM(RIGHT(E919,LEN(E919)-FIND("@",SUBSTITUTE(E919,"|","@",LEN(E919)-LEN(SUBSTITUTE(E919,"|",""))))))</f>
        <v>Mice</v>
      </c>
      <c r="E919" t="s">
        <v>1192</v>
      </c>
      <c r="F919">
        <v>579</v>
      </c>
      <c r="G919" s="1">
        <v>1090</v>
      </c>
      <c r="H919" s="6">
        <v>47</v>
      </c>
      <c r="I919">
        <v>4.4000000000000004</v>
      </c>
      <c r="J919" s="1">
        <v>3482</v>
      </c>
    </row>
    <row r="920" spans="1:10">
      <c r="A920" t="s">
        <v>1949</v>
      </c>
      <c r="B920" t="s">
        <v>1950</v>
      </c>
      <c r="C920" t="str">
        <f>LEFT(B920,FIND(" ",B920)-1)</f>
        <v>Pilot</v>
      </c>
      <c r="D920" t="str">
        <f>TRIM(RIGHT(E920,LEN(E920)-FIND("@",SUBSTITUTE(E920,"|","@",LEN(E920)-LEN(SUBSTITUTE(E920,"|",""))))))</f>
        <v>LiquidInkRollerballPens</v>
      </c>
      <c r="E920" t="s">
        <v>1951</v>
      </c>
      <c r="F920">
        <v>90</v>
      </c>
      <c r="G920">
        <v>100</v>
      </c>
      <c r="H920" s="6">
        <v>1</v>
      </c>
      <c r="I920">
        <v>4.0999999999999996</v>
      </c>
      <c r="J920" s="1">
        <v>6199</v>
      </c>
    </row>
    <row r="921" spans="1:10">
      <c r="A921" t="s">
        <v>1952</v>
      </c>
      <c r="B921" t="s">
        <v>1953</v>
      </c>
      <c r="C921" t="str">
        <f>LEFT(B921,FIND(" ",B921)-1)</f>
        <v>ZEBRONICS</v>
      </c>
      <c r="D921" t="str">
        <f>TRIM(RIGHT(E921,LEN(E921)-FIND("@",SUBSTITUTE(E921,"|","@",LEN(E921)-LEN(SUBSTITUTE(E921,"|",""))))))</f>
        <v>Lapdesks</v>
      </c>
      <c r="E921" t="s">
        <v>1201</v>
      </c>
      <c r="F921">
        <v>899</v>
      </c>
      <c r="G921" s="1">
        <v>1999</v>
      </c>
      <c r="H921" s="6">
        <v>55</v>
      </c>
      <c r="I921">
        <v>4.4000000000000004</v>
      </c>
      <c r="J921" s="1">
        <v>1667</v>
      </c>
    </row>
    <row r="922" spans="1:10">
      <c r="A922" t="s">
        <v>1954</v>
      </c>
      <c r="B922" t="s">
        <v>1955</v>
      </c>
      <c r="C922" t="str">
        <f>LEFT(B922,FIND(" ",B922)-1)</f>
        <v>HP</v>
      </c>
      <c r="D922" t="str">
        <f>TRIM(RIGHT(E922,LEN(E922)-FIND("@",SUBSTITUTE(E922,"|","@",LEN(E922)-LEN(SUBSTITUTE(E922,"|",""))))))</f>
        <v>GamingKeyboards</v>
      </c>
      <c r="E922" t="s">
        <v>1796</v>
      </c>
      <c r="F922" s="1">
        <v>1149</v>
      </c>
      <c r="G922" s="1">
        <v>1800</v>
      </c>
      <c r="H922" s="6">
        <v>36</v>
      </c>
      <c r="I922">
        <v>4.3</v>
      </c>
      <c r="J922" s="1">
        <v>4723</v>
      </c>
    </row>
    <row r="923" spans="1:10">
      <c r="A923" t="s">
        <v>1956</v>
      </c>
      <c r="B923" t="s">
        <v>1957</v>
      </c>
      <c r="C923" t="str">
        <f>LEFT(B923,FIND(" ",B923)-1)</f>
        <v>GIZGA</v>
      </c>
      <c r="D923" t="str">
        <f>TRIM(RIGHT(E923,LEN(E923)-FIND("@",SUBSTITUTE(E923,"|","@",LEN(E923)-LEN(SUBSTITUTE(E923,"|",""))))))</f>
        <v>LaptopSleeves&amp;Slipcases</v>
      </c>
      <c r="E923" t="s">
        <v>1496</v>
      </c>
      <c r="F923">
        <v>249</v>
      </c>
      <c r="G923">
        <v>499</v>
      </c>
      <c r="H923" s="6">
        <v>5</v>
      </c>
      <c r="I923">
        <v>4.2</v>
      </c>
      <c r="J923" s="1">
        <v>22860</v>
      </c>
    </row>
    <row r="924" spans="1:10">
      <c r="A924" t="s">
        <v>1958</v>
      </c>
      <c r="B924" t="s">
        <v>1959</v>
      </c>
      <c r="C924" t="str">
        <f>LEFT(B924,FIND(" ",B924)-1)</f>
        <v>Inventis</v>
      </c>
      <c r="D924" t="str">
        <f>TRIM(RIGHT(E924,LEN(E924)-FIND("@",SUBSTITUTE(E924,"|","@",LEN(E924)-LEN(SUBSTITUTE(E924,"|",""))))))</f>
        <v>Lamps</v>
      </c>
      <c r="E924" t="s">
        <v>1413</v>
      </c>
      <c r="F924">
        <v>39</v>
      </c>
      <c r="G924">
        <v>39</v>
      </c>
      <c r="H924" s="6">
        <v>0</v>
      </c>
      <c r="I924">
        <v>3.6</v>
      </c>
      <c r="J924" s="1">
        <v>13572</v>
      </c>
    </row>
    <row r="925" spans="1:10">
      <c r="A925" t="s">
        <v>1960</v>
      </c>
      <c r="B925" t="s">
        <v>1961</v>
      </c>
      <c r="C925" t="str">
        <f>LEFT(B925,FIND(" ",B925)-1)</f>
        <v>TP-Link</v>
      </c>
      <c r="D925" t="str">
        <f>TRIM(RIGHT(E925,LEN(E925)-FIND("@",SUBSTITUTE(E925,"|","@",LEN(E925)-LEN(SUBSTITUTE(E925,"|",""))))))</f>
        <v>Repeaters&amp;Extenders</v>
      </c>
      <c r="E925" t="s">
        <v>1275</v>
      </c>
      <c r="F925" s="1">
        <v>1599</v>
      </c>
      <c r="G925" s="1">
        <v>3599</v>
      </c>
      <c r="H925" s="6">
        <v>56</v>
      </c>
      <c r="I925">
        <v>4.2</v>
      </c>
      <c r="J925" s="1">
        <v>16182</v>
      </c>
    </row>
    <row r="926" spans="1:10">
      <c r="A926" t="s">
        <v>1962</v>
      </c>
      <c r="B926" t="s">
        <v>1963</v>
      </c>
      <c r="C926" t="str">
        <f>LEFT(B926,FIND(" ",B926)-1)</f>
        <v>boAt</v>
      </c>
      <c r="D926" t="str">
        <f>TRIM(RIGHT(E926,LEN(E926)-FIND("@",SUBSTITUTE(E926,"|","@",LEN(E926)-LEN(SUBSTITUTE(E926,"|",""))))))</f>
        <v>BluetoothSpeakers</v>
      </c>
      <c r="E926" t="s">
        <v>1345</v>
      </c>
      <c r="F926" s="1">
        <v>1199</v>
      </c>
      <c r="G926" s="1">
        <v>3990</v>
      </c>
      <c r="H926" s="6">
        <v>7</v>
      </c>
      <c r="I926">
        <v>4.2</v>
      </c>
      <c r="J926" s="1">
        <v>2908</v>
      </c>
    </row>
    <row r="927" spans="1:10">
      <c r="A927" t="s">
        <v>1964</v>
      </c>
      <c r="B927" t="s">
        <v>1965</v>
      </c>
      <c r="C927" t="str">
        <f>LEFT(B927,FIND(" ",B927)-1)</f>
        <v>OffbeatÂ®</v>
      </c>
      <c r="D927" t="str">
        <f>TRIM(RIGHT(E927,LEN(E927)-FIND("@",SUBSTITUTE(E927,"|","@",LEN(E927)-LEN(SUBSTITUTE(E927,"|",""))))))</f>
        <v>Mice</v>
      </c>
      <c r="E927" t="s">
        <v>1192</v>
      </c>
      <c r="F927" s="1">
        <v>1099</v>
      </c>
      <c r="G927" s="1">
        <v>1499</v>
      </c>
      <c r="H927" s="6">
        <v>27</v>
      </c>
      <c r="I927">
        <v>4.2</v>
      </c>
      <c r="J927" s="1">
        <v>2375</v>
      </c>
    </row>
    <row r="928" spans="1:10">
      <c r="A928" t="s">
        <v>1966</v>
      </c>
      <c r="B928" t="s">
        <v>1967</v>
      </c>
      <c r="C928" t="str">
        <f>LEFT(B928,FIND(" ",B928)-1)</f>
        <v>Classmate</v>
      </c>
      <c r="D928" t="str">
        <f>TRIM(RIGHT(E928,LEN(E928)-FIND("@",SUBSTITUTE(E928,"|","@",LEN(E928)-LEN(SUBSTITUTE(E928,"|",""))))))</f>
        <v>CompositionNotebooks</v>
      </c>
      <c r="E928" t="s">
        <v>1514</v>
      </c>
      <c r="F928">
        <v>120</v>
      </c>
      <c r="G928">
        <v>120</v>
      </c>
      <c r="H928" s="6">
        <v>0</v>
      </c>
      <c r="I928">
        <v>4.5</v>
      </c>
      <c r="J928" s="1">
        <v>4951</v>
      </c>
    </row>
    <row r="929" spans="1:10">
      <c r="A929" t="s">
        <v>1968</v>
      </c>
      <c r="B929" t="s">
        <v>1969</v>
      </c>
      <c r="C929" t="str">
        <f>LEFT(B929,FIND(" ",B929)-1)</f>
        <v>HP</v>
      </c>
      <c r="D929" t="str">
        <f>TRIM(RIGHT(E929,LEN(E929)-FIND("@",SUBSTITUTE(E929,"|","@",LEN(E929)-LEN(SUBSTITUTE(E929,"|",""))))))</f>
        <v>GamingKeyboards</v>
      </c>
      <c r="E929" t="s">
        <v>1796</v>
      </c>
      <c r="F929" s="1">
        <v>1519</v>
      </c>
      <c r="G929" s="1">
        <v>3499</v>
      </c>
      <c r="H929" s="6">
        <v>57</v>
      </c>
      <c r="I929">
        <v>4.3</v>
      </c>
      <c r="J929">
        <v>408</v>
      </c>
    </row>
    <row r="930" spans="1:10">
      <c r="A930" t="s">
        <v>1970</v>
      </c>
      <c r="B930" t="s">
        <v>1971</v>
      </c>
      <c r="C930" t="str">
        <f>LEFT(B930,FIND(" ",B930)-1)</f>
        <v>Parker</v>
      </c>
      <c r="D930" t="str">
        <f>TRIM(RIGHT(E930,LEN(E930)-FIND("@",SUBSTITUTE(E930,"|","@",LEN(E930)-LEN(SUBSTITUTE(E930,"|",""))))))</f>
        <v>LiquidInkRollerballPens</v>
      </c>
      <c r="E930" t="s">
        <v>1951</v>
      </c>
      <c r="F930">
        <v>420</v>
      </c>
      <c r="G930">
        <v>420</v>
      </c>
      <c r="H930" s="6">
        <v>0</v>
      </c>
      <c r="I930">
        <v>4.2</v>
      </c>
      <c r="J930" s="1">
        <v>1926</v>
      </c>
    </row>
    <row r="931" spans="1:10">
      <c r="A931" t="s">
        <v>1972</v>
      </c>
      <c r="B931" t="s">
        <v>1973</v>
      </c>
      <c r="C931" t="str">
        <f>LEFT(B931,FIND(" ",B931)-1)</f>
        <v>Camlin</v>
      </c>
      <c r="D931" t="str">
        <f>TRIM(RIGHT(E931,LEN(E931)-FIND("@",SUBSTITUTE(E931,"|","@",LEN(E931)-LEN(SUBSTITUTE(E931,"|",""))))))</f>
        <v>FountainPens</v>
      </c>
      <c r="E931" t="s">
        <v>1974</v>
      </c>
      <c r="F931">
        <v>225</v>
      </c>
      <c r="G931">
        <v>225</v>
      </c>
      <c r="H931" s="6">
        <v>0</v>
      </c>
      <c r="I931">
        <v>4.0999999999999996</v>
      </c>
      <c r="J931" s="1">
        <v>4798</v>
      </c>
    </row>
    <row r="932" spans="1:10">
      <c r="A932" t="s">
        <v>1975</v>
      </c>
      <c r="B932" t="s">
        <v>1976</v>
      </c>
      <c r="C932" t="str">
        <f>LEFT(B932,FIND(" ",B932)-1)</f>
        <v>CARECASEÂ®</v>
      </c>
      <c r="D932" t="str">
        <f>TRIM(RIGHT(E932,LEN(E932)-FIND("@",SUBSTITUTE(E932,"|","@",LEN(E932)-LEN(SUBSTITUTE(E932,"|",""))))))</f>
        <v>Caddies</v>
      </c>
      <c r="E932" t="s">
        <v>1977</v>
      </c>
      <c r="F932">
        <v>199</v>
      </c>
      <c r="G932">
        <v>799</v>
      </c>
      <c r="H932" s="6">
        <v>75</v>
      </c>
      <c r="I932">
        <v>4.0999999999999996</v>
      </c>
      <c r="J932" s="1">
        <v>7333</v>
      </c>
    </row>
    <row r="933" spans="1:10">
      <c r="A933" t="s">
        <v>1978</v>
      </c>
      <c r="B933" t="s">
        <v>1979</v>
      </c>
      <c r="C933" t="str">
        <f>LEFT(B933,FIND(" ",B933)-1)</f>
        <v>Canon</v>
      </c>
      <c r="D933" t="str">
        <f>TRIM(RIGHT(E933,LEN(E933)-FIND("@",SUBSTITUTE(E933,"|","@",LEN(E933)-LEN(SUBSTITUTE(E933,"|",""))))))</f>
        <v>InkjetPrinters</v>
      </c>
      <c r="E933" t="s">
        <v>1823</v>
      </c>
      <c r="F933" s="1">
        <v>8349</v>
      </c>
      <c r="G933" s="1">
        <v>9625</v>
      </c>
      <c r="H933" s="6">
        <v>13</v>
      </c>
      <c r="I933">
        <v>3.8</v>
      </c>
      <c r="J933" s="1">
        <v>3652</v>
      </c>
    </row>
    <row r="934" spans="1:10">
      <c r="A934" t="s">
        <v>1980</v>
      </c>
      <c r="B934" t="s">
        <v>1981</v>
      </c>
      <c r="C934" t="str">
        <f>LEFT(B934,FIND(" ",B934)-1)</f>
        <v>Crucial</v>
      </c>
      <c r="D934" t="str">
        <f>TRIM(RIGHT(E934,LEN(E934)-FIND("@",SUBSTITUTE(E934,"|","@",LEN(E934)-LEN(SUBSTITUTE(E934,"|",""))))))</f>
        <v>InternalSolidStateDrives</v>
      </c>
      <c r="E934" t="s">
        <v>1616</v>
      </c>
      <c r="F934" s="1">
        <v>3307</v>
      </c>
      <c r="G934" s="1">
        <v>6100</v>
      </c>
      <c r="H934" s="6">
        <v>46</v>
      </c>
      <c r="I934">
        <v>4.3</v>
      </c>
      <c r="J934" s="1">
        <v>2515</v>
      </c>
    </row>
    <row r="935" spans="1:10">
      <c r="A935" t="s">
        <v>1982</v>
      </c>
      <c r="B935" t="s">
        <v>1983</v>
      </c>
      <c r="C935" t="str">
        <f>LEFT(B935,FIND(" ",B935)-1)</f>
        <v>HP</v>
      </c>
      <c r="D935" t="str">
        <f>TRIM(RIGHT(E935,LEN(E935)-FIND("@",SUBSTITUTE(E935,"|","@",LEN(E935)-LEN(SUBSTITUTE(E935,"|",""))))))</f>
        <v>PenDrives</v>
      </c>
      <c r="E935" t="s">
        <v>1188</v>
      </c>
      <c r="F935">
        <v>449</v>
      </c>
      <c r="G935" s="1">
        <v>1300</v>
      </c>
      <c r="H935" s="6">
        <v>65</v>
      </c>
      <c r="I935">
        <v>4.2</v>
      </c>
      <c r="J935" s="1">
        <v>4959</v>
      </c>
    </row>
    <row r="936" spans="1:10">
      <c r="A936" t="s">
        <v>1984</v>
      </c>
      <c r="B936" t="s">
        <v>1985</v>
      </c>
      <c r="C936" t="str">
        <f>LEFT(B936,FIND(" ",B936)-1)</f>
        <v>Duracell</v>
      </c>
      <c r="D936" t="str">
        <f>TRIM(RIGHT(E936,LEN(E936)-FIND("@",SUBSTITUTE(E936,"|","@",LEN(E936)-LEN(SUBSTITUTE(E936,"|",""))))))</f>
        <v>DisposableBatteries</v>
      </c>
      <c r="E936" t="s">
        <v>1236</v>
      </c>
      <c r="F936">
        <v>380</v>
      </c>
      <c r="G936">
        <v>400</v>
      </c>
      <c r="H936" s="6">
        <v>5</v>
      </c>
      <c r="I936">
        <v>4.4000000000000004</v>
      </c>
      <c r="J936" s="1">
        <v>2111</v>
      </c>
    </row>
    <row r="937" spans="1:10">
      <c r="A937" t="s">
        <v>1986</v>
      </c>
      <c r="B937" t="s">
        <v>1987</v>
      </c>
      <c r="C937" t="str">
        <f>LEFT(B937,FIND(" ",B937)-1)</f>
        <v>BESTORÂ®</v>
      </c>
      <c r="D937" t="str">
        <f>TRIM(RIGHT(E937,LEN(E937)-FIND("@",SUBSTITUTE(E937,"|","@",LEN(E937)-LEN(SUBSTITUTE(E937,"|",""))))))</f>
        <v>GraphicTablets</v>
      </c>
      <c r="E937" t="s">
        <v>1195</v>
      </c>
      <c r="F937">
        <v>499</v>
      </c>
      <c r="G937" s="1">
        <v>1399</v>
      </c>
      <c r="H937" s="6">
        <v>64</v>
      </c>
      <c r="I937">
        <v>3.9</v>
      </c>
      <c r="J937" s="1">
        <v>1462</v>
      </c>
    </row>
    <row r="938" spans="1:10">
      <c r="A938" t="s">
        <v>1988</v>
      </c>
      <c r="B938" t="s">
        <v>1989</v>
      </c>
      <c r="C938" t="str">
        <f>LEFT(B938,FIND(" ",B938)-1)</f>
        <v>Lenovo</v>
      </c>
      <c r="D938" t="str">
        <f>TRIM(RIGHT(E938,LEN(E938)-FIND("@",SUBSTITUTE(E938,"|","@",LEN(E938)-LEN(SUBSTITUTE(E938,"|",""))))))</f>
        <v>TraditionalLaptops</v>
      </c>
      <c r="E938" t="s">
        <v>1990</v>
      </c>
      <c r="F938" s="1">
        <v>37247</v>
      </c>
      <c r="G938" s="1">
        <v>59890</v>
      </c>
      <c r="H938" s="6">
        <v>38</v>
      </c>
      <c r="I938">
        <v>4</v>
      </c>
      <c r="J938">
        <v>323</v>
      </c>
    </row>
    <row r="939" spans="1:10">
      <c r="A939" t="s">
        <v>1991</v>
      </c>
      <c r="B939" t="s">
        <v>1992</v>
      </c>
      <c r="C939" t="str">
        <f>LEFT(B939,FIND(" ",B939)-1)</f>
        <v>boAt</v>
      </c>
      <c r="D939" t="str">
        <f>TRIM(RIGHT(E939,LEN(E939)-FIND("@",SUBSTITUTE(E939,"|","@",LEN(E939)-LEN(SUBSTITUTE(E939,"|",""))))))</f>
        <v>On-Ear</v>
      </c>
      <c r="E939" t="s">
        <v>1093</v>
      </c>
      <c r="F939">
        <v>849</v>
      </c>
      <c r="G939" s="1">
        <v>2490</v>
      </c>
      <c r="H939" s="6">
        <v>66</v>
      </c>
      <c r="I939">
        <v>4.2</v>
      </c>
      <c r="J939" s="1">
        <v>91188</v>
      </c>
    </row>
    <row r="940" spans="1:10">
      <c r="A940" t="s">
        <v>1993</v>
      </c>
      <c r="B940" t="s">
        <v>1994</v>
      </c>
      <c r="C940" t="str">
        <f>LEFT(B940,FIND(" ",B940)-1)</f>
        <v>Zebronics</v>
      </c>
      <c r="D940" t="str">
        <f>TRIM(RIGHT(E940,LEN(E940)-FIND("@",SUBSTITUTE(E940,"|","@",LEN(E940)-LEN(SUBSTITUTE(E940,"|",""))))))</f>
        <v>OutdoorSpeakers</v>
      </c>
      <c r="E940" t="s">
        <v>1493</v>
      </c>
      <c r="F940">
        <v>799</v>
      </c>
      <c r="G940" s="1">
        <v>1999</v>
      </c>
      <c r="H940" s="6">
        <v>6</v>
      </c>
      <c r="I940">
        <v>3.7</v>
      </c>
      <c r="J940">
        <v>418</v>
      </c>
    </row>
    <row r="941" spans="1:10">
      <c r="A941" t="s">
        <v>1995</v>
      </c>
      <c r="B941" t="s">
        <v>1996</v>
      </c>
      <c r="C941" t="str">
        <f>LEFT(B941,FIND(" ",B941)-1)</f>
        <v>SWAPKART</v>
      </c>
      <c r="D941" t="str">
        <f>TRIM(RIGHT(E941,LEN(E941)-FIND("@",SUBSTITUTE(E941,"|","@",LEN(E941)-LEN(SUBSTITUTE(E941,"|",""))))))</f>
        <v>Lamps</v>
      </c>
      <c r="E941" t="s">
        <v>1413</v>
      </c>
      <c r="F941">
        <v>298</v>
      </c>
      <c r="G941">
        <v>999</v>
      </c>
      <c r="H941" s="6">
        <v>7</v>
      </c>
      <c r="I941">
        <v>4.3</v>
      </c>
      <c r="J941" s="1">
        <v>1552</v>
      </c>
    </row>
    <row r="942" spans="1:10">
      <c r="A942" t="s">
        <v>1997</v>
      </c>
      <c r="B942" t="s">
        <v>1998</v>
      </c>
      <c r="C942" t="str">
        <f>LEFT(B942,FIND(" ",B942)-1)</f>
        <v>Infinity</v>
      </c>
      <c r="D942" t="str">
        <f>TRIM(RIGHT(E942,LEN(E942)-FIND("@",SUBSTITUTE(E942,"|","@",LEN(E942)-LEN(SUBSTITUTE(E942,"|",""))))))</f>
        <v>OutdoorSpeakers</v>
      </c>
      <c r="E942" t="s">
        <v>1493</v>
      </c>
      <c r="F942" s="1">
        <v>1499</v>
      </c>
      <c r="G942" s="1">
        <v>2999</v>
      </c>
      <c r="H942" s="6">
        <v>5</v>
      </c>
      <c r="I942">
        <v>4.0999999999999996</v>
      </c>
      <c r="J942" s="1">
        <v>25262</v>
      </c>
    </row>
    <row r="943" spans="1:10">
      <c r="A943" t="s">
        <v>1999</v>
      </c>
      <c r="B943" t="s">
        <v>2000</v>
      </c>
      <c r="C943" t="str">
        <f>LEFT(B943,FIND(" ",B943)-1)</f>
        <v>Pigeon</v>
      </c>
      <c r="D943" t="str">
        <f>TRIM(RIGHT(E943,LEN(E943)-FIND("@",SUBSTITUTE(E943,"|","@",LEN(E943)-LEN(SUBSTITUTE(E943,"|",""))))))</f>
        <v>ElectricKettles</v>
      </c>
      <c r="E943" t="s">
        <v>2001</v>
      </c>
      <c r="F943">
        <v>649</v>
      </c>
      <c r="G943" s="1">
        <v>1245</v>
      </c>
      <c r="H943" s="6">
        <v>48</v>
      </c>
      <c r="I943">
        <v>3.9</v>
      </c>
      <c r="J943" t="s">
        <v>2002</v>
      </c>
    </row>
    <row r="944" spans="1:10">
      <c r="A944" t="s">
        <v>2003</v>
      </c>
      <c r="B944" t="s">
        <v>2004</v>
      </c>
      <c r="C944" t="str">
        <f>LEFT(B944,FIND(" ",B944)-1)</f>
        <v>USHA</v>
      </c>
      <c r="D944" t="str">
        <f>TRIM(RIGHT(E944,LEN(E944)-FIND("@",SUBSTITUTE(E944,"|","@",LEN(E944)-LEN(SUBSTITUTE(E944,"|",""))))))</f>
        <v>ElectricHeaters</v>
      </c>
      <c r="E944" t="s">
        <v>2005</v>
      </c>
      <c r="F944" s="1">
        <v>1199</v>
      </c>
      <c r="G944" s="1">
        <v>1695</v>
      </c>
      <c r="H944" s="6">
        <v>29</v>
      </c>
      <c r="I944">
        <v>3.6</v>
      </c>
      <c r="J944" s="1">
        <v>13300</v>
      </c>
    </row>
    <row r="945" spans="1:10">
      <c r="A945" t="s">
        <v>2006</v>
      </c>
      <c r="B945" t="s">
        <v>2007</v>
      </c>
      <c r="C945" t="str">
        <f>LEFT(B945,FIND(" ",B945)-1)</f>
        <v>Amazon</v>
      </c>
      <c r="D945" t="str">
        <f>TRIM(RIGHT(E945,LEN(E945)-FIND("@",SUBSTITUTE(E945,"|","@",LEN(E945)-LEN(SUBSTITUTE(E945,"|",""))))))</f>
        <v>FanHeaters</v>
      </c>
      <c r="E945" t="s">
        <v>2008</v>
      </c>
      <c r="F945" s="1">
        <v>1199</v>
      </c>
      <c r="G945" s="1">
        <v>2000</v>
      </c>
      <c r="H945" s="6">
        <v>4</v>
      </c>
      <c r="I945">
        <v>4</v>
      </c>
      <c r="J945" s="1">
        <v>18543</v>
      </c>
    </row>
    <row r="946" spans="1:10">
      <c r="A946" t="s">
        <v>2009</v>
      </c>
      <c r="B946" t="s">
        <v>2010</v>
      </c>
      <c r="C946" t="str">
        <f>LEFT(B946,FIND(" ",B946)-1)</f>
        <v>StyleHouse</v>
      </c>
      <c r="D946" t="str">
        <f>TRIM(RIGHT(E946,LEN(E946)-FIND("@",SUBSTITUTE(E946,"|","@",LEN(E946)-LEN(SUBSTITUTE(E946,"|",""))))))</f>
        <v>LintShavers</v>
      </c>
      <c r="E946" t="s">
        <v>2011</v>
      </c>
      <c r="F946">
        <v>455</v>
      </c>
      <c r="G946">
        <v>999</v>
      </c>
      <c r="H946" s="6">
        <v>54</v>
      </c>
      <c r="I946">
        <v>4.0999999999999996</v>
      </c>
      <c r="J946" s="1">
        <v>3578</v>
      </c>
    </row>
    <row r="947" spans="1:10">
      <c r="A947" t="s">
        <v>2012</v>
      </c>
      <c r="B947" t="s">
        <v>2013</v>
      </c>
      <c r="C947" t="str">
        <f>LEFT(B947,FIND(" ",B947)-1)</f>
        <v>beatXP</v>
      </c>
      <c r="D947" t="str">
        <f>TRIM(RIGHT(E947,LEN(E947)-FIND("@",SUBSTITUTE(E947,"|","@",LEN(E947)-LEN(SUBSTITUTE(E947,"|",""))))))</f>
        <v>DigitalKitchenScales</v>
      </c>
      <c r="E947" t="s">
        <v>2014</v>
      </c>
      <c r="F947">
        <v>199</v>
      </c>
      <c r="G947" s="1">
        <v>1999</v>
      </c>
      <c r="H947" s="6">
        <v>9</v>
      </c>
      <c r="I947">
        <v>3.7</v>
      </c>
      <c r="J947" s="1">
        <v>2031</v>
      </c>
    </row>
    <row r="948" spans="1:10">
      <c r="A948" t="s">
        <v>2015</v>
      </c>
      <c r="B948" t="s">
        <v>2016</v>
      </c>
      <c r="C948" t="str">
        <f>LEFT(B948,FIND(" ",B948)-1)</f>
        <v>Glun</v>
      </c>
      <c r="D948" t="str">
        <f>TRIM(RIGHT(E948,LEN(E948)-FIND("@",SUBSTITUTE(E948,"|","@",LEN(E948)-LEN(SUBSTITUTE(E948,"|",""))))))</f>
        <v>DigitalKitchenScales</v>
      </c>
      <c r="E948" t="s">
        <v>2014</v>
      </c>
      <c r="F948">
        <v>293</v>
      </c>
      <c r="G948">
        <v>499</v>
      </c>
      <c r="H948" s="6">
        <v>41</v>
      </c>
      <c r="I948">
        <v>3.9</v>
      </c>
      <c r="J948" s="1">
        <v>44994</v>
      </c>
    </row>
    <row r="949" spans="1:10">
      <c r="A949" t="s">
        <v>2017</v>
      </c>
      <c r="B949" t="s">
        <v>2018</v>
      </c>
      <c r="C949" t="str">
        <f>LEFT(B949,FIND(" ",B949)-1)</f>
        <v>Pigeon</v>
      </c>
      <c r="D949" t="str">
        <f>TRIM(RIGHT(E949,LEN(E949)-FIND("@",SUBSTITUTE(E949,"|","@",LEN(E949)-LEN(SUBSTITUTE(E949,"|",""))))))</f>
        <v>Choppers</v>
      </c>
      <c r="E949" t="s">
        <v>2019</v>
      </c>
      <c r="F949">
        <v>199</v>
      </c>
      <c r="G949">
        <v>495</v>
      </c>
      <c r="H949" s="6">
        <v>6</v>
      </c>
      <c r="I949">
        <v>4.0999999999999996</v>
      </c>
      <c r="J949" t="s">
        <v>2020</v>
      </c>
    </row>
    <row r="950" spans="1:10">
      <c r="A950" t="s">
        <v>2021</v>
      </c>
      <c r="B950" t="s">
        <v>2022</v>
      </c>
      <c r="C950" t="str">
        <f>LEFT(B950,FIND(" ",B950)-1)</f>
        <v>Prestige</v>
      </c>
      <c r="D950" t="str">
        <f>TRIM(RIGHT(E950,LEN(E950)-FIND("@",SUBSTITUTE(E950,"|","@",LEN(E950)-LEN(SUBSTITUTE(E950,"|",""))))))</f>
        <v>ElectricKettles</v>
      </c>
      <c r="E950" t="s">
        <v>2001</v>
      </c>
      <c r="F950">
        <v>749</v>
      </c>
      <c r="G950" s="1">
        <v>1245</v>
      </c>
      <c r="H950" s="6">
        <v>4</v>
      </c>
      <c r="I950">
        <v>3.9</v>
      </c>
      <c r="J950" s="1">
        <v>31783</v>
      </c>
    </row>
    <row r="951" spans="1:10">
      <c r="A951" t="s">
        <v>2023</v>
      </c>
      <c r="B951" t="s">
        <v>2024</v>
      </c>
      <c r="C951" t="str">
        <f>LEFT(B951,FIND(" ",B951)-1)</f>
        <v>Bajaj</v>
      </c>
      <c r="D951" t="str">
        <f>TRIM(RIGHT(E951,LEN(E951)-FIND("@",SUBSTITUTE(E951,"|","@",LEN(E951)-LEN(SUBSTITUTE(E951,"|",""))))))</f>
        <v>ElectricHeaters</v>
      </c>
      <c r="E951" t="s">
        <v>2005</v>
      </c>
      <c r="F951" s="1">
        <v>1399</v>
      </c>
      <c r="G951" s="1">
        <v>1549</v>
      </c>
      <c r="H951" s="6">
        <v>1</v>
      </c>
      <c r="I951">
        <v>3.9</v>
      </c>
      <c r="J951" s="1">
        <v>2602</v>
      </c>
    </row>
    <row r="952" spans="1:10">
      <c r="A952" t="s">
        <v>2025</v>
      </c>
      <c r="B952" t="s">
        <v>2026</v>
      </c>
      <c r="C952" t="str">
        <f>LEFT(B952,FIND(" ",B952)-1)</f>
        <v>Prestige</v>
      </c>
      <c r="D952" t="str">
        <f>TRIM(RIGHT(E952,LEN(E952)-FIND("@",SUBSTITUTE(E952,"|","@",LEN(E952)-LEN(SUBSTITUTE(E952,"|",""))))))</f>
        <v>ElectricKettles</v>
      </c>
      <c r="E952" t="s">
        <v>2001</v>
      </c>
      <c r="F952">
        <v>749</v>
      </c>
      <c r="G952" s="1">
        <v>1445</v>
      </c>
      <c r="H952" s="6">
        <v>48</v>
      </c>
      <c r="I952">
        <v>3.9</v>
      </c>
      <c r="J952" s="1">
        <v>63350</v>
      </c>
    </row>
    <row r="953" spans="1:10">
      <c r="A953" t="s">
        <v>2027</v>
      </c>
      <c r="B953" t="s">
        <v>2028</v>
      </c>
      <c r="C953" t="str">
        <f>LEFT(B953,FIND(" ",B953)-1)</f>
        <v>Pigeon</v>
      </c>
      <c r="D953" t="str">
        <f>TRIM(RIGHT(E953,LEN(E953)-FIND("@",SUBSTITUTE(E953,"|","@",LEN(E953)-LEN(SUBSTITUTE(E953,"|",""))))))</f>
        <v>InductionCooktop</v>
      </c>
      <c r="E953" t="s">
        <v>2029</v>
      </c>
      <c r="F953" s="1">
        <v>1699</v>
      </c>
      <c r="G953" s="1">
        <v>3193</v>
      </c>
      <c r="H953" s="6">
        <v>47</v>
      </c>
      <c r="I953">
        <v>3.8</v>
      </c>
      <c r="J953" s="1">
        <v>54032</v>
      </c>
    </row>
    <row r="954" spans="1:10">
      <c r="A954" t="s">
        <v>2030</v>
      </c>
      <c r="B954" t="s">
        <v>2031</v>
      </c>
      <c r="C954" t="str">
        <f>LEFT(B954,FIND(" ",B954)-1)</f>
        <v>Prestige</v>
      </c>
      <c r="D954" t="str">
        <f>TRIM(RIGHT(E954,LEN(E954)-FIND("@",SUBSTITUTE(E954,"|","@",LEN(E954)-LEN(SUBSTITUTE(E954,"|",""))))))</f>
        <v>ElectricKettles</v>
      </c>
      <c r="E954" t="s">
        <v>2001</v>
      </c>
      <c r="F954" s="1">
        <v>1043</v>
      </c>
      <c r="G954" s="1">
        <v>1345</v>
      </c>
      <c r="H954" s="6">
        <v>22</v>
      </c>
      <c r="I954">
        <v>3.8</v>
      </c>
      <c r="J954" s="1">
        <v>15592</v>
      </c>
    </row>
    <row r="955" spans="1:10">
      <c r="A955" t="s">
        <v>2032</v>
      </c>
      <c r="B955" t="s">
        <v>2033</v>
      </c>
      <c r="C955" t="str">
        <f>LEFT(B955,FIND(" ",B955)-1)</f>
        <v>SHOPTOSHOP</v>
      </c>
      <c r="D955" t="str">
        <f>TRIM(RIGHT(E955,LEN(E955)-FIND("@",SUBSTITUTE(E955,"|","@",LEN(E955)-LEN(SUBSTITUTE(E955,"|",""))))))</f>
        <v>LintShavers</v>
      </c>
      <c r="E955" t="s">
        <v>2011</v>
      </c>
      <c r="F955">
        <v>499</v>
      </c>
      <c r="G955">
        <v>999</v>
      </c>
      <c r="H955" s="6">
        <v>5</v>
      </c>
      <c r="I955">
        <v>4.0999999999999996</v>
      </c>
      <c r="J955" s="1">
        <v>4859</v>
      </c>
    </row>
    <row r="956" spans="1:10">
      <c r="A956" t="s">
        <v>2034</v>
      </c>
      <c r="B956" t="s">
        <v>2035</v>
      </c>
      <c r="C956" t="str">
        <f>LEFT(B956,FIND(" ",B956)-1)</f>
        <v>Orpat</v>
      </c>
      <c r="D956" t="str">
        <f>TRIM(RIGHT(E956,LEN(E956)-FIND("@",SUBSTITUTE(E956,"|","@",LEN(E956)-LEN(SUBSTITUTE(E956,"|",""))))))</f>
        <v>FanHeaters</v>
      </c>
      <c r="E956" t="s">
        <v>2008</v>
      </c>
      <c r="F956" s="1">
        <v>1464</v>
      </c>
      <c r="G956" s="1">
        <v>1650</v>
      </c>
      <c r="H956" s="6">
        <v>11</v>
      </c>
      <c r="I956">
        <v>4.0999999999999996</v>
      </c>
      <c r="J956" s="1">
        <v>14120</v>
      </c>
    </row>
    <row r="957" spans="1:10">
      <c r="A957" t="s">
        <v>2036</v>
      </c>
      <c r="B957" t="s">
        <v>2037</v>
      </c>
      <c r="C957" t="str">
        <f>LEFT(B957,FIND(" ",B957)-1)</f>
        <v>PRO365</v>
      </c>
      <c r="D957" t="str">
        <f>TRIM(RIGHT(E957,LEN(E957)-FIND("@",SUBSTITUTE(E957,"|","@",LEN(E957)-LEN(SUBSTITUTE(E957,"|",""))))))</f>
        <v>HandBlenders</v>
      </c>
      <c r="E957" t="s">
        <v>2038</v>
      </c>
      <c r="F957">
        <v>249</v>
      </c>
      <c r="G957">
        <v>499</v>
      </c>
      <c r="H957" s="6">
        <v>5</v>
      </c>
      <c r="I957">
        <v>3.3</v>
      </c>
      <c r="J957" s="1">
        <v>8427</v>
      </c>
    </row>
    <row r="958" spans="1:10">
      <c r="A958" t="s">
        <v>2039</v>
      </c>
      <c r="B958" t="s">
        <v>2040</v>
      </c>
      <c r="C958" t="str">
        <f>LEFT(B958,FIND(" ",B958)-1)</f>
        <v>Bajaj</v>
      </c>
      <c r="D958" t="str">
        <f>TRIM(RIGHT(E958,LEN(E958)-FIND("@",SUBSTITUTE(E958,"|","@",LEN(E958)-LEN(SUBSTITUTE(E958,"|",""))))))</f>
        <v>DryIrons</v>
      </c>
      <c r="E958" t="s">
        <v>2041</v>
      </c>
      <c r="F958">
        <v>625</v>
      </c>
      <c r="G958" s="1">
        <v>1400</v>
      </c>
      <c r="H958" s="6">
        <v>55</v>
      </c>
      <c r="I958">
        <v>4.2</v>
      </c>
      <c r="J958" s="1">
        <v>23316</v>
      </c>
    </row>
    <row r="959" spans="1:10">
      <c r="A959" t="s">
        <v>2042</v>
      </c>
      <c r="B959" t="s">
        <v>2043</v>
      </c>
      <c r="C959" t="str">
        <f>LEFT(B959,FIND(" ",B959)-1)</f>
        <v>Croma</v>
      </c>
      <c r="D959" t="str">
        <f>TRIM(RIGHT(E959,LEN(E959)-FIND("@",SUBSTITUTE(E959,"|","@",LEN(E959)-LEN(SUBSTITUTE(E959,"|",""))))))</f>
        <v>MixerGrinders</v>
      </c>
      <c r="E959" t="s">
        <v>2044</v>
      </c>
      <c r="F959" s="1">
        <v>1290</v>
      </c>
      <c r="G959" s="1">
        <v>2500</v>
      </c>
      <c r="H959" s="6">
        <v>48</v>
      </c>
      <c r="I959">
        <v>4</v>
      </c>
      <c r="J959" s="1">
        <v>6530</v>
      </c>
    </row>
    <row r="960" spans="1:10">
      <c r="A960" t="s">
        <v>2045</v>
      </c>
      <c r="B960" t="s">
        <v>2046</v>
      </c>
      <c r="C960" t="str">
        <f>LEFT(B960,FIND(" ",B960)-1)</f>
        <v>Havells</v>
      </c>
      <c r="D960" t="str">
        <f>TRIM(RIGHT(E960,LEN(E960)-FIND("@",SUBSTITUTE(E960,"|","@",LEN(E960)-LEN(SUBSTITUTE(E960,"|",""))))))</f>
        <v>InstantWaterHeaters</v>
      </c>
      <c r="E960" t="s">
        <v>2047</v>
      </c>
      <c r="F960" s="1">
        <v>3600</v>
      </c>
      <c r="G960" s="1">
        <v>6190</v>
      </c>
      <c r="H960" s="6">
        <v>42</v>
      </c>
      <c r="I960">
        <v>4.3</v>
      </c>
      <c r="J960" s="1">
        <v>11924</v>
      </c>
    </row>
    <row r="961" spans="1:10">
      <c r="A961" t="s">
        <v>2048</v>
      </c>
      <c r="B961" t="s">
        <v>2049</v>
      </c>
      <c r="C961" t="str">
        <f>LEFT(B961,FIND(" ",B961)-1)</f>
        <v>Morphy</v>
      </c>
      <c r="D961" t="str">
        <f>TRIM(RIGHT(E961,LEN(E961)-FIND("@",SUBSTITUTE(E961,"|","@",LEN(E961)-LEN(SUBSTITUTE(E961,"|",""))))))</f>
        <v>RoomHeaters</v>
      </c>
      <c r="E961" t="s">
        <v>2050</v>
      </c>
      <c r="F961" s="1">
        <v>6549</v>
      </c>
      <c r="G961" s="1">
        <v>13999</v>
      </c>
      <c r="H961" s="6">
        <v>53</v>
      </c>
      <c r="I961">
        <v>4</v>
      </c>
      <c r="J961" s="1">
        <v>2961</v>
      </c>
    </row>
    <row r="962" spans="1:10">
      <c r="A962" t="s">
        <v>2051</v>
      </c>
      <c r="B962" t="s">
        <v>2052</v>
      </c>
      <c r="C962" t="str">
        <f>LEFT(B962,FIND(" ",B962)-1)</f>
        <v>Havells</v>
      </c>
      <c r="D962" t="str">
        <f>TRIM(RIGHT(E962,LEN(E962)-FIND("@",SUBSTITUTE(E962,"|","@",LEN(E962)-LEN(SUBSTITUTE(E962,"|",""))))))</f>
        <v>ElectricKettles</v>
      </c>
      <c r="E962" t="s">
        <v>2001</v>
      </c>
      <c r="F962" s="1">
        <v>1625</v>
      </c>
      <c r="G962" s="1">
        <v>2995</v>
      </c>
      <c r="H962" s="6">
        <v>46</v>
      </c>
      <c r="I962">
        <v>4.5</v>
      </c>
      <c r="J962" s="1">
        <v>23484</v>
      </c>
    </row>
    <row r="963" spans="1:10">
      <c r="A963" t="s">
        <v>2053</v>
      </c>
      <c r="B963" t="s">
        <v>2054</v>
      </c>
      <c r="C963" t="str">
        <f>LEFT(B963,FIND(" ",B963)-1)</f>
        <v>Bajaj</v>
      </c>
      <c r="D963" t="str">
        <f>TRIM(RIGHT(E963,LEN(E963)-FIND("@",SUBSTITUTE(E963,"|","@",LEN(E963)-LEN(SUBSTITUTE(E963,"|",""))))))</f>
        <v>InstantWaterHeaters</v>
      </c>
      <c r="E963" t="s">
        <v>2047</v>
      </c>
      <c r="F963" s="1">
        <v>2599</v>
      </c>
      <c r="G963" s="1">
        <v>5890</v>
      </c>
      <c r="H963" s="6">
        <v>56</v>
      </c>
      <c r="I963">
        <v>4.0999999999999996</v>
      </c>
      <c r="J963" s="1">
        <v>21783</v>
      </c>
    </row>
    <row r="964" spans="1:10">
      <c r="A964" t="s">
        <v>2055</v>
      </c>
      <c r="B964" t="s">
        <v>2056</v>
      </c>
      <c r="C964" t="str">
        <f>LEFT(B964,FIND(" ",B964)-1)</f>
        <v>KENT</v>
      </c>
      <c r="D964" t="str">
        <f>TRIM(RIGHT(E964,LEN(E964)-FIND("@",SUBSTITUTE(E964,"|","@",LEN(E964)-LEN(SUBSTITUTE(E964,"|",""))))))</f>
        <v>Kettle&amp;ToasterSets</v>
      </c>
      <c r="E964" t="s">
        <v>2057</v>
      </c>
      <c r="F964" s="1">
        <v>1199</v>
      </c>
      <c r="G964" s="1">
        <v>2000</v>
      </c>
      <c r="H964" s="6">
        <v>4</v>
      </c>
      <c r="I964">
        <v>4</v>
      </c>
      <c r="J964" s="1">
        <v>14030</v>
      </c>
    </row>
    <row r="965" spans="1:10">
      <c r="A965" t="s">
        <v>2058</v>
      </c>
      <c r="B965" t="s">
        <v>2059</v>
      </c>
      <c r="C965" t="str">
        <f>LEFT(B965,FIND(" ",B965)-1)</f>
        <v>Bajaj</v>
      </c>
      <c r="D965" t="str">
        <f>TRIM(RIGHT(E965,LEN(E965)-FIND("@",SUBSTITUTE(E965,"|","@",LEN(E965)-LEN(SUBSTITUTE(E965,"|",""))))))</f>
        <v>StorageWaterHeaters</v>
      </c>
      <c r="E965" t="s">
        <v>2060</v>
      </c>
      <c r="F965" s="1">
        <v>5499</v>
      </c>
      <c r="G965" s="1">
        <v>13150</v>
      </c>
      <c r="H965" s="6">
        <v>58</v>
      </c>
      <c r="I965">
        <v>4.2</v>
      </c>
      <c r="J965" s="1">
        <v>6398</v>
      </c>
    </row>
    <row r="966" spans="1:10">
      <c r="A966" t="s">
        <v>2061</v>
      </c>
      <c r="B966" t="s">
        <v>2062</v>
      </c>
      <c r="C966" t="str">
        <f>LEFT(B966,FIND(" ",B966)-1)</f>
        <v>Lifelong</v>
      </c>
      <c r="D966" t="str">
        <f>TRIM(RIGHT(E966,LEN(E966)-FIND("@",SUBSTITUTE(E966,"|","@",LEN(E966)-LEN(SUBSTITUTE(E966,"|",""))))))</f>
        <v>MixerGrinders</v>
      </c>
      <c r="E966" t="s">
        <v>2044</v>
      </c>
      <c r="F966" s="1">
        <v>1299</v>
      </c>
      <c r="G966" s="1">
        <v>3500</v>
      </c>
      <c r="H966" s="6">
        <v>63</v>
      </c>
      <c r="I966">
        <v>3.8</v>
      </c>
      <c r="J966" s="1">
        <v>44050</v>
      </c>
    </row>
    <row r="967" spans="1:10">
      <c r="A967" t="s">
        <v>2063</v>
      </c>
      <c r="B967" t="s">
        <v>2064</v>
      </c>
      <c r="C967" t="str">
        <f>LEFT(B967,FIND(" ",B967)-1)</f>
        <v>Bajaj</v>
      </c>
      <c r="D967" t="str">
        <f>TRIM(RIGHT(E967,LEN(E967)-FIND("@",SUBSTITUTE(E967,"|","@",LEN(E967)-LEN(SUBSTITUTE(E967,"|",""))))))</f>
        <v>DryIrons</v>
      </c>
      <c r="E967" t="s">
        <v>2041</v>
      </c>
      <c r="F967">
        <v>599</v>
      </c>
      <c r="G967">
        <v>785</v>
      </c>
      <c r="H967" s="6">
        <v>24</v>
      </c>
      <c r="I967">
        <v>4.2</v>
      </c>
      <c r="J967" s="1">
        <v>24247</v>
      </c>
    </row>
    <row r="968" spans="1:10">
      <c r="A968" t="s">
        <v>2065</v>
      </c>
      <c r="B968" t="s">
        <v>2066</v>
      </c>
      <c r="C968" t="str">
        <f>LEFT(B968,FIND(" ",B968)-1)</f>
        <v>Bajaj</v>
      </c>
      <c r="D968" t="str">
        <f>TRIM(RIGHT(E968,LEN(E968)-FIND("@",SUBSTITUTE(E968,"|","@",LEN(E968)-LEN(SUBSTITUTE(E968,"|",""))))))</f>
        <v>MixerGrinders</v>
      </c>
      <c r="E968" t="s">
        <v>2044</v>
      </c>
      <c r="F968" s="1">
        <v>1999</v>
      </c>
      <c r="G968" s="1">
        <v>3210</v>
      </c>
      <c r="H968" s="6">
        <v>38</v>
      </c>
      <c r="I968">
        <v>4.2</v>
      </c>
      <c r="J968" s="1">
        <v>41349</v>
      </c>
    </row>
    <row r="969" spans="1:10">
      <c r="A969" t="s">
        <v>2067</v>
      </c>
      <c r="B969" t="s">
        <v>2068</v>
      </c>
      <c r="C969" t="str">
        <f>LEFT(B969,FIND(" ",B969)-1)</f>
        <v>Lifelong</v>
      </c>
      <c r="D969" t="str">
        <f>TRIM(RIGHT(E969,LEN(E969)-FIND("@",SUBSTITUTE(E969,"|","@",LEN(E969)-LEN(SUBSTITUTE(E969,"|",""))))))</f>
        <v>Kettle&amp;ToasterSets</v>
      </c>
      <c r="E969" t="s">
        <v>2057</v>
      </c>
      <c r="F969">
        <v>549</v>
      </c>
      <c r="G969" s="1">
        <v>1000</v>
      </c>
      <c r="H969" s="6">
        <v>45</v>
      </c>
      <c r="I969">
        <v>3.6</v>
      </c>
      <c r="J969" s="1">
        <v>1074</v>
      </c>
    </row>
    <row r="970" spans="1:10">
      <c r="A970" t="s">
        <v>2069</v>
      </c>
      <c r="B970" t="s">
        <v>2070</v>
      </c>
      <c r="C970" t="str">
        <f>LEFT(B970,FIND(" ",B970)-1)</f>
        <v>Lifelong</v>
      </c>
      <c r="D970" t="str">
        <f>TRIM(RIGHT(E970,LEN(E970)-FIND("@",SUBSTITUTE(E970,"|","@",LEN(E970)-LEN(SUBSTITUTE(E970,"|",""))))))</f>
        <v>ElectricHeaters</v>
      </c>
      <c r="E970" t="s">
        <v>2005</v>
      </c>
      <c r="F970">
        <v>999</v>
      </c>
      <c r="G970" s="1">
        <v>2000</v>
      </c>
      <c r="H970" s="6">
        <v>5</v>
      </c>
      <c r="I970">
        <v>3.8</v>
      </c>
      <c r="J970" s="1">
        <v>1163</v>
      </c>
    </row>
    <row r="971" spans="1:10">
      <c r="A971" t="s">
        <v>2071</v>
      </c>
      <c r="B971" t="s">
        <v>2072</v>
      </c>
      <c r="C971" t="str">
        <f>LEFT(B971,FIND(" ",B971)-1)</f>
        <v>R</v>
      </c>
      <c r="D971" t="str">
        <f>TRIM(RIGHT(E971,LEN(E971)-FIND("@",SUBSTITUTE(E971,"|","@",LEN(E971)-LEN(SUBSTITUTE(E971,"|",""))))))</f>
        <v>LintShavers</v>
      </c>
      <c r="E971" t="s">
        <v>2011</v>
      </c>
      <c r="F971">
        <v>398</v>
      </c>
      <c r="G971" s="1">
        <v>1999</v>
      </c>
      <c r="H971" s="6">
        <v>8</v>
      </c>
      <c r="I971">
        <v>4.0999999999999996</v>
      </c>
      <c r="J971">
        <v>257</v>
      </c>
    </row>
    <row r="972" spans="1:10">
      <c r="A972" t="s">
        <v>2073</v>
      </c>
      <c r="B972" t="s">
        <v>2074</v>
      </c>
      <c r="C972" t="str">
        <f>LEFT(B972,FIND(" ",B972)-1)</f>
        <v>Bajaj</v>
      </c>
      <c r="D972" t="str">
        <f>TRIM(RIGHT(E972,LEN(E972)-FIND("@",SUBSTITUTE(E972,"|","@",LEN(E972)-LEN(SUBSTITUTE(E972,"|",""))))))</f>
        <v>ImmersionRods</v>
      </c>
      <c r="E972" t="s">
        <v>2075</v>
      </c>
      <c r="F972">
        <v>539</v>
      </c>
      <c r="G972">
        <v>720</v>
      </c>
      <c r="H972" s="6">
        <v>25</v>
      </c>
      <c r="I972">
        <v>4.0999999999999996</v>
      </c>
      <c r="J972" s="1">
        <v>36017</v>
      </c>
    </row>
    <row r="973" spans="1:10">
      <c r="A973" t="s">
        <v>2076</v>
      </c>
      <c r="B973" t="s">
        <v>2077</v>
      </c>
      <c r="C973" t="str">
        <f>LEFT(B973,FIND(" ",B973)-1)</f>
        <v>INALSA</v>
      </c>
      <c r="D973" t="str">
        <f>TRIM(RIGHT(E973,LEN(E973)-FIND("@",SUBSTITUTE(E973,"|","@",LEN(E973)-LEN(SUBSTITUTE(E973,"|",""))))))</f>
        <v>ElectricKettles</v>
      </c>
      <c r="E973" t="s">
        <v>2001</v>
      </c>
      <c r="F973">
        <v>699</v>
      </c>
      <c r="G973" s="1">
        <v>1595</v>
      </c>
      <c r="H973" s="6">
        <v>56</v>
      </c>
      <c r="I973">
        <v>4.0999999999999996</v>
      </c>
      <c r="J973" s="1">
        <v>8090</v>
      </c>
    </row>
    <row r="974" spans="1:10">
      <c r="A974" t="s">
        <v>2078</v>
      </c>
      <c r="B974" t="s">
        <v>2079</v>
      </c>
      <c r="C974" t="str">
        <f>LEFT(B974,FIND(" ",B974)-1)</f>
        <v>Prestige</v>
      </c>
      <c r="D974" t="str">
        <f>TRIM(RIGHT(E974,LEN(E974)-FIND("@",SUBSTITUTE(E974,"|","@",LEN(E974)-LEN(SUBSTITUTE(E974,"|",""))))))</f>
        <v>InductionCooktop</v>
      </c>
      <c r="E974" t="s">
        <v>2029</v>
      </c>
      <c r="F974" s="1">
        <v>2148</v>
      </c>
      <c r="G974" s="1">
        <v>3645</v>
      </c>
      <c r="H974" s="6">
        <v>41</v>
      </c>
      <c r="I974">
        <v>4.0999999999999996</v>
      </c>
      <c r="J974" s="1">
        <v>31388</v>
      </c>
    </row>
    <row r="975" spans="1:10">
      <c r="A975" t="s">
        <v>2080</v>
      </c>
      <c r="B975" t="s">
        <v>2081</v>
      </c>
      <c r="C975" t="str">
        <f>LEFT(B975,FIND(" ",B975)-1)</f>
        <v>Pigeon</v>
      </c>
      <c r="D975" t="str">
        <f>TRIM(RIGHT(E975,LEN(E975)-FIND("@",SUBSTITUTE(E975,"|","@",LEN(E975)-LEN(SUBSTITUTE(E975,"|",""))))))</f>
        <v>AirFryers</v>
      </c>
      <c r="E975" t="s">
        <v>2082</v>
      </c>
      <c r="F975" s="1">
        <v>3599</v>
      </c>
      <c r="G975" s="1">
        <v>7950</v>
      </c>
      <c r="H975" s="6">
        <v>55</v>
      </c>
      <c r="I975">
        <v>4.2</v>
      </c>
      <c r="J975">
        <v>136</v>
      </c>
    </row>
    <row r="976" spans="1:10">
      <c r="A976" t="s">
        <v>2083</v>
      </c>
      <c r="B976" t="s">
        <v>2084</v>
      </c>
      <c r="C976" t="str">
        <f>LEFT(B976,FIND(" ",B976)-1)</f>
        <v>PrettyKrafts</v>
      </c>
      <c r="D976" t="str">
        <f>TRIM(RIGHT(E976,LEN(E976)-FIND("@",SUBSTITUTE(E976,"|","@",LEN(E976)-LEN(SUBSTITUTE(E976,"|",""))))))</f>
        <v>LaundryBaskets</v>
      </c>
      <c r="E976" t="s">
        <v>2085</v>
      </c>
      <c r="F976">
        <v>351</v>
      </c>
      <c r="G976">
        <v>999</v>
      </c>
      <c r="H976" s="6">
        <v>65</v>
      </c>
      <c r="I976">
        <v>4</v>
      </c>
      <c r="J976" s="1">
        <v>5380</v>
      </c>
    </row>
    <row r="977" spans="1:10">
      <c r="A977" t="s">
        <v>2086</v>
      </c>
      <c r="B977" t="s">
        <v>2087</v>
      </c>
      <c r="C977" t="str">
        <f>LEFT(B977,FIND(" ",B977)-1)</f>
        <v>Philips</v>
      </c>
      <c r="D977" t="str">
        <f>TRIM(RIGHT(E977,LEN(E977)-FIND("@",SUBSTITUTE(E977,"|","@",LEN(E977)-LEN(SUBSTITUTE(E977,"|",""))))))</f>
        <v>SteamIrons</v>
      </c>
      <c r="E977" t="s">
        <v>2088</v>
      </c>
      <c r="F977" s="1">
        <v>1614</v>
      </c>
      <c r="G977" s="1">
        <v>1745</v>
      </c>
      <c r="H977" s="6">
        <v>8</v>
      </c>
      <c r="I977">
        <v>4.3</v>
      </c>
      <c r="J977" s="1">
        <v>37974</v>
      </c>
    </row>
    <row r="978" spans="1:10">
      <c r="A978" t="s">
        <v>2089</v>
      </c>
      <c r="B978" t="s">
        <v>2090</v>
      </c>
      <c r="C978" t="str">
        <f>LEFT(B978,FIND(" ",B978)-1)</f>
        <v>Havells</v>
      </c>
      <c r="D978" t="str">
        <f>TRIM(RIGHT(E978,LEN(E978)-FIND("@",SUBSTITUTE(E978,"|","@",LEN(E978)-LEN(SUBSTITUTE(E978,"|",""))))))</f>
        <v>ImmersionRods</v>
      </c>
      <c r="E978" t="s">
        <v>2075</v>
      </c>
      <c r="F978">
        <v>719</v>
      </c>
      <c r="G978" s="1">
        <v>1295</v>
      </c>
      <c r="H978" s="6">
        <v>44</v>
      </c>
      <c r="I978">
        <v>4.2</v>
      </c>
      <c r="J978" s="1">
        <v>17218</v>
      </c>
    </row>
    <row r="979" spans="1:10">
      <c r="A979" t="s">
        <v>2091</v>
      </c>
      <c r="B979" t="s">
        <v>2092</v>
      </c>
      <c r="C979" t="str">
        <f>LEFT(B979,FIND(" ",B979)-1)</f>
        <v>AGARO</v>
      </c>
      <c r="D979" t="str">
        <f>TRIM(RIGHT(E979,LEN(E979)-FIND("@",SUBSTITUTE(E979,"|","@",LEN(E979)-LEN(SUBSTITUTE(E979,"|",""))))))</f>
        <v>LintShavers</v>
      </c>
      <c r="E979" t="s">
        <v>2011</v>
      </c>
      <c r="F979">
        <v>678</v>
      </c>
      <c r="G979" s="1">
        <v>1499</v>
      </c>
      <c r="H979" s="6">
        <v>55</v>
      </c>
      <c r="I979">
        <v>4.2</v>
      </c>
      <c r="J979">
        <v>900</v>
      </c>
    </row>
    <row r="980" spans="1:10">
      <c r="A980" t="s">
        <v>2093</v>
      </c>
      <c r="B980" t="s">
        <v>2094</v>
      </c>
      <c r="C980" t="str">
        <f>LEFT(B980,FIND(" ",B980)-1)</f>
        <v>Pigeon</v>
      </c>
      <c r="D980" t="str">
        <f>TRIM(RIGHT(E980,LEN(E980)-FIND("@",SUBSTITUTE(E980,"|","@",LEN(E980)-LEN(SUBSTITUTE(E980,"|",""))))))</f>
        <v>Kettle&amp;ToasterSets</v>
      </c>
      <c r="E980" t="s">
        <v>2057</v>
      </c>
      <c r="F980">
        <v>809</v>
      </c>
      <c r="G980" s="1">
        <v>1545</v>
      </c>
      <c r="H980" s="6">
        <v>48</v>
      </c>
      <c r="I980">
        <v>3.7</v>
      </c>
      <c r="J980">
        <v>976</v>
      </c>
    </row>
    <row r="981" spans="1:10">
      <c r="A981" t="s">
        <v>2095</v>
      </c>
      <c r="B981" t="s">
        <v>2096</v>
      </c>
      <c r="C981" t="str">
        <f>LEFT(B981,FIND(" ",B981)-1)</f>
        <v>NutriPro</v>
      </c>
      <c r="D981" t="str">
        <f>TRIM(RIGHT(E981,LEN(E981)-FIND("@",SUBSTITUTE(E981,"|","@",LEN(E981)-LEN(SUBSTITUTE(E981,"|",""))))))</f>
        <v>JuicerMixerGrinders</v>
      </c>
      <c r="E981" t="s">
        <v>2097</v>
      </c>
      <c r="F981" s="1">
        <v>1969</v>
      </c>
      <c r="G981" s="1">
        <v>5000</v>
      </c>
      <c r="H981" s="6">
        <v>61</v>
      </c>
      <c r="I981">
        <v>4.0999999999999996</v>
      </c>
      <c r="J981" s="1">
        <v>4927</v>
      </c>
    </row>
    <row r="982" spans="1:10">
      <c r="A982" t="s">
        <v>2098</v>
      </c>
      <c r="B982" t="s">
        <v>2099</v>
      </c>
      <c r="C982" t="str">
        <f>LEFT(B982,FIND(" ",B982)-1)</f>
        <v>Philips</v>
      </c>
      <c r="D982" t="str">
        <f>TRIM(RIGHT(E982,LEN(E982)-FIND("@",SUBSTITUTE(E982,"|","@",LEN(E982)-LEN(SUBSTITUTE(E982,"|",""))))))</f>
        <v>LintShavers</v>
      </c>
      <c r="E982" t="s">
        <v>2011</v>
      </c>
      <c r="F982" s="1">
        <v>1490</v>
      </c>
      <c r="G982" s="1">
        <v>1695</v>
      </c>
      <c r="H982" s="6">
        <v>12</v>
      </c>
      <c r="I982">
        <v>4.4000000000000004</v>
      </c>
      <c r="J982" s="1">
        <v>3543</v>
      </c>
    </row>
    <row r="983" spans="1:10">
      <c r="A983" t="s">
        <v>2100</v>
      </c>
      <c r="B983" t="s">
        <v>2101</v>
      </c>
      <c r="C983" t="str">
        <f>LEFT(B983,FIND(" ",B983)-1)</f>
        <v>Havells</v>
      </c>
      <c r="D983" t="str">
        <f>TRIM(RIGHT(E983,LEN(E983)-FIND("@",SUBSTITUTE(E983,"|","@",LEN(E983)-LEN(SUBSTITUTE(E983,"|",""))))))</f>
        <v>ElectricHeaters</v>
      </c>
      <c r="E983" t="s">
        <v>2005</v>
      </c>
      <c r="F983" s="1">
        <v>2499</v>
      </c>
      <c r="G983" s="1">
        <v>3945</v>
      </c>
      <c r="H983" s="6">
        <v>37</v>
      </c>
      <c r="I983">
        <v>3.8</v>
      </c>
      <c r="J983" s="1">
        <v>2732</v>
      </c>
    </row>
    <row r="984" spans="1:10">
      <c r="A984" t="s">
        <v>2102</v>
      </c>
      <c r="B984" t="s">
        <v>2103</v>
      </c>
      <c r="C984" t="str">
        <f>LEFT(B984,FIND(" ",B984)-1)</f>
        <v>AGARO</v>
      </c>
      <c r="D984" t="str">
        <f>TRIM(RIGHT(E984,LEN(E984)-FIND("@",SUBSTITUTE(E984,"|","@",LEN(E984)-LEN(SUBSTITUTE(E984,"|",""))))))</f>
        <v>HandheldVacuums</v>
      </c>
      <c r="E984" t="s">
        <v>2104</v>
      </c>
      <c r="F984" s="1">
        <v>1665</v>
      </c>
      <c r="G984" s="1">
        <v>2099</v>
      </c>
      <c r="H984" s="6">
        <v>21</v>
      </c>
      <c r="I984">
        <v>4</v>
      </c>
      <c r="J984" s="1">
        <v>14368</v>
      </c>
    </row>
    <row r="985" spans="1:10">
      <c r="A985" t="s">
        <v>2105</v>
      </c>
      <c r="B985" t="s">
        <v>2106</v>
      </c>
      <c r="C985" t="str">
        <f>LEFT(B985,FIND(" ",B985)-1)</f>
        <v>Philips</v>
      </c>
      <c r="D985" t="str">
        <f>TRIM(RIGHT(E985,LEN(E985)-FIND("@",SUBSTITUTE(E985,"|","@",LEN(E985)-LEN(SUBSTITUTE(E985,"|",""))))))</f>
        <v>InductionCooktop</v>
      </c>
      <c r="E985" t="s">
        <v>2029</v>
      </c>
      <c r="F985" s="1">
        <v>3229</v>
      </c>
      <c r="G985" s="1">
        <v>5295</v>
      </c>
      <c r="H985" s="6">
        <v>39</v>
      </c>
      <c r="I985">
        <v>4.2</v>
      </c>
      <c r="J985" s="1">
        <v>39724</v>
      </c>
    </row>
    <row r="986" spans="1:10">
      <c r="A986" t="s">
        <v>2107</v>
      </c>
      <c r="B986" t="s">
        <v>2108</v>
      </c>
      <c r="C986" t="str">
        <f>LEFT(B986,FIND(" ",B986)-1)</f>
        <v>Pigeon</v>
      </c>
      <c r="D986" t="str">
        <f>TRIM(RIGHT(E986,LEN(E986)-FIND("@",SUBSTITUTE(E986,"|","@",LEN(E986)-LEN(SUBSTITUTE(E986,"|",""))))))</f>
        <v>InductionCooktop</v>
      </c>
      <c r="E986" t="s">
        <v>2029</v>
      </c>
      <c r="F986" s="1">
        <v>1799</v>
      </c>
      <c r="G986" s="1">
        <v>3595</v>
      </c>
      <c r="H986" s="6">
        <v>5</v>
      </c>
      <c r="I986">
        <v>3.8</v>
      </c>
      <c r="J986" s="1">
        <v>9791</v>
      </c>
    </row>
    <row r="987" spans="1:10">
      <c r="A987" t="s">
        <v>2109</v>
      </c>
      <c r="B987" t="s">
        <v>2110</v>
      </c>
      <c r="C987" t="str">
        <f>LEFT(B987,FIND(" ",B987)-1)</f>
        <v>AGARO</v>
      </c>
      <c r="D987" t="str">
        <f>TRIM(RIGHT(E987,LEN(E987)-FIND("@",SUBSTITUTE(E987,"|","@",LEN(E987)-LEN(SUBSTITUTE(E987,"|",""))))))</f>
        <v>ElectricKettles</v>
      </c>
      <c r="E987" t="s">
        <v>2001</v>
      </c>
      <c r="F987" s="1">
        <v>1260</v>
      </c>
      <c r="G987" s="1">
        <v>1699</v>
      </c>
      <c r="H987" s="6">
        <v>26</v>
      </c>
      <c r="I987">
        <v>4.2</v>
      </c>
      <c r="J987" s="1">
        <v>2891</v>
      </c>
    </row>
    <row r="988" spans="1:10">
      <c r="A988" t="s">
        <v>2111</v>
      </c>
      <c r="B988" t="s">
        <v>2112</v>
      </c>
      <c r="C988" t="str">
        <f>LEFT(B988,FIND(" ",B988)-1)</f>
        <v>Bajaj</v>
      </c>
      <c r="D988" t="str">
        <f>TRIM(RIGHT(E988,LEN(E988)-FIND("@",SUBSTITUTE(E988,"|","@",LEN(E988)-LEN(SUBSTITUTE(E988,"|",""))))))</f>
        <v>ElectricHeaters</v>
      </c>
      <c r="E988" t="s">
        <v>2005</v>
      </c>
      <c r="F988">
        <v>749</v>
      </c>
      <c r="G988" s="1">
        <v>1129</v>
      </c>
      <c r="H988" s="6">
        <v>34</v>
      </c>
      <c r="I988">
        <v>4</v>
      </c>
      <c r="J988" s="1">
        <v>2446</v>
      </c>
    </row>
    <row r="989" spans="1:10">
      <c r="A989" t="s">
        <v>2113</v>
      </c>
      <c r="B989" t="s">
        <v>2114</v>
      </c>
      <c r="C989" t="str">
        <f>LEFT(B989,FIND(" ",B989)-1)</f>
        <v>Butterfly</v>
      </c>
      <c r="D989" t="str">
        <f>TRIM(RIGHT(E989,LEN(E989)-FIND("@",SUBSTITUTE(E989,"|","@",LEN(E989)-LEN(SUBSTITUTE(E989,"|",""))))))</f>
        <v>MixerGrinders</v>
      </c>
      <c r="E989" t="s">
        <v>2044</v>
      </c>
      <c r="F989" s="1">
        <v>3499</v>
      </c>
      <c r="G989" s="1">
        <v>5795</v>
      </c>
      <c r="H989" s="6">
        <v>4</v>
      </c>
      <c r="I989">
        <v>3.9</v>
      </c>
      <c r="J989" s="1">
        <v>25340</v>
      </c>
    </row>
    <row r="990" spans="1:10">
      <c r="A990" t="s">
        <v>2115</v>
      </c>
      <c r="B990" t="s">
        <v>2116</v>
      </c>
      <c r="C990" t="str">
        <f>LEFT(B990,FIND(" ",B990)-1)</f>
        <v>SOFLIN</v>
      </c>
      <c r="D990" t="str">
        <f>TRIM(RIGHT(E990,LEN(E990)-FIND("@",SUBSTITUTE(E990,"|","@",LEN(E990)-LEN(SUBSTITUTE(E990,"|",""))))))</f>
        <v>EggBoilers</v>
      </c>
      <c r="E990" t="s">
        <v>2117</v>
      </c>
      <c r="F990">
        <v>379</v>
      </c>
      <c r="G990">
        <v>999</v>
      </c>
      <c r="H990" s="6">
        <v>62</v>
      </c>
      <c r="I990">
        <v>4.3</v>
      </c>
      <c r="J990" s="1">
        <v>3096</v>
      </c>
    </row>
    <row r="991" spans="1:10">
      <c r="A991" t="s">
        <v>2118</v>
      </c>
      <c r="B991" t="s">
        <v>2119</v>
      </c>
      <c r="C991" t="str">
        <f>LEFT(B991,FIND(" ",B991)-1)</f>
        <v>Lifelong</v>
      </c>
      <c r="D991" t="str">
        <f>TRIM(RIGHT(E991,LEN(E991)-FIND("@",SUBSTITUTE(E991,"|","@",LEN(E991)-LEN(SUBSTITUTE(E991,"|",""))))))</f>
        <v>ElectricHeaters</v>
      </c>
      <c r="E991" t="s">
        <v>2005</v>
      </c>
      <c r="F991" s="1">
        <v>1099</v>
      </c>
      <c r="G991" s="1">
        <v>2400</v>
      </c>
      <c r="H991" s="6">
        <v>54</v>
      </c>
      <c r="I991">
        <v>3.8</v>
      </c>
      <c r="J991">
        <v>4</v>
      </c>
    </row>
    <row r="992" spans="1:10">
      <c r="A992" t="s">
        <v>2120</v>
      </c>
      <c r="B992" t="s">
        <v>2121</v>
      </c>
      <c r="C992" t="str">
        <f>LEFT(B992,FIND(" ",B992)-1)</f>
        <v>Amazon</v>
      </c>
      <c r="D992" t="str">
        <f>TRIM(RIGHT(E992,LEN(E992)-FIND("@",SUBSTITUTE(E992,"|","@",LEN(E992)-LEN(SUBSTITUTE(E992,"|",""))))))</f>
        <v>Kettle&amp;ToasterSets</v>
      </c>
      <c r="E992" t="s">
        <v>2057</v>
      </c>
      <c r="F992">
        <v>749</v>
      </c>
      <c r="G992" s="1">
        <v>1299</v>
      </c>
      <c r="H992" s="6">
        <v>42</v>
      </c>
      <c r="I992">
        <v>4</v>
      </c>
      <c r="J992">
        <v>119</v>
      </c>
    </row>
    <row r="993" spans="1:10">
      <c r="A993" t="s">
        <v>2122</v>
      </c>
      <c r="B993" t="s">
        <v>2123</v>
      </c>
      <c r="C993" t="str">
        <f>LEFT(B993,FIND(" ",B993)-1)</f>
        <v>Prestige</v>
      </c>
      <c r="D993" t="str">
        <f>TRIM(RIGHT(E993,LEN(E993)-FIND("@",SUBSTITUTE(E993,"|","@",LEN(E993)-LEN(SUBSTITUTE(E993,"|",""))))))</f>
        <v>SandwichMakers</v>
      </c>
      <c r="E993" t="s">
        <v>2124</v>
      </c>
      <c r="F993" s="1">
        <v>1299</v>
      </c>
      <c r="G993" s="1">
        <v>1299</v>
      </c>
      <c r="H993" s="6">
        <v>0</v>
      </c>
      <c r="I993">
        <v>4.2</v>
      </c>
      <c r="J993" s="1">
        <v>40106</v>
      </c>
    </row>
    <row r="994" spans="1:10">
      <c r="A994" t="s">
        <v>2125</v>
      </c>
      <c r="B994" t="s">
        <v>2126</v>
      </c>
      <c r="C994" t="str">
        <f>LEFT(B994,FIND(" ",B994)-1)</f>
        <v>Orient</v>
      </c>
      <c r="D994" t="str">
        <f>TRIM(RIGHT(E994,LEN(E994)-FIND("@",SUBSTITUTE(E994,"|","@",LEN(E994)-LEN(SUBSTITUTE(E994,"|",""))))))</f>
        <v>DryIrons</v>
      </c>
      <c r="E994" t="s">
        <v>2041</v>
      </c>
      <c r="F994">
        <v>549</v>
      </c>
      <c r="G994" s="1">
        <v>1090</v>
      </c>
      <c r="H994" s="6">
        <v>5</v>
      </c>
      <c r="I994">
        <v>4.2</v>
      </c>
      <c r="J994" s="1">
        <v>13029</v>
      </c>
    </row>
    <row r="995" spans="1:10">
      <c r="A995" t="s">
        <v>2127</v>
      </c>
      <c r="B995" t="s">
        <v>2128</v>
      </c>
      <c r="C995" t="str">
        <f>LEFT(B995,FIND(" ",B995)-1)</f>
        <v>Lifelong</v>
      </c>
      <c r="D995" t="str">
        <f>TRIM(RIGHT(E995,LEN(E995)-FIND("@",SUBSTITUTE(E995,"|","@",LEN(E995)-LEN(SUBSTITUTE(E995,"|",""))))))</f>
        <v>FanHeaters</v>
      </c>
      <c r="E995" t="s">
        <v>2008</v>
      </c>
      <c r="F995">
        <v>899</v>
      </c>
      <c r="G995" s="1">
        <v>2000</v>
      </c>
      <c r="H995" s="6">
        <v>55</v>
      </c>
      <c r="I995">
        <v>3.6</v>
      </c>
      <c r="J995">
        <v>291</v>
      </c>
    </row>
    <row r="996" spans="1:10">
      <c r="A996" t="s">
        <v>2129</v>
      </c>
      <c r="B996" t="s">
        <v>2130</v>
      </c>
      <c r="C996" t="str">
        <f>LEFT(B996,FIND(" ",B996)-1)</f>
        <v>Philips</v>
      </c>
      <c r="D996" t="str">
        <f>TRIM(RIGHT(E996,LEN(E996)-FIND("@",SUBSTITUTE(E996,"|","@",LEN(E996)-LEN(SUBSTITUTE(E996,"|",""))))))</f>
        <v>DryIrons</v>
      </c>
      <c r="E996" t="s">
        <v>2041</v>
      </c>
      <c r="F996" s="1">
        <v>1321</v>
      </c>
      <c r="G996" s="1">
        <v>1545</v>
      </c>
      <c r="H996" s="6">
        <v>14</v>
      </c>
      <c r="I996">
        <v>4.3</v>
      </c>
      <c r="J996" s="1">
        <v>15453</v>
      </c>
    </row>
    <row r="997" spans="1:10">
      <c r="A997" t="s">
        <v>2131</v>
      </c>
      <c r="B997" t="s">
        <v>2132</v>
      </c>
      <c r="C997" t="str">
        <f>LEFT(B997,FIND(" ",B997)-1)</f>
        <v>Bulfyss</v>
      </c>
      <c r="D997" t="str">
        <f>TRIM(RIGHT(E997,LEN(E997)-FIND("@",SUBSTITUTE(E997,"|","@",LEN(E997)-LEN(SUBSTITUTE(E997,"|",""))))))</f>
        <v>LintShavers</v>
      </c>
      <c r="E997" t="s">
        <v>2011</v>
      </c>
      <c r="F997" s="1">
        <v>1099</v>
      </c>
      <c r="G997" s="1">
        <v>1999</v>
      </c>
      <c r="H997" s="6">
        <v>45</v>
      </c>
      <c r="I997">
        <v>4</v>
      </c>
      <c r="J997">
        <v>604</v>
      </c>
    </row>
    <row r="998" spans="1:10">
      <c r="A998" t="s">
        <v>2133</v>
      </c>
      <c r="B998" t="s">
        <v>2134</v>
      </c>
      <c r="C998" t="str">
        <f>LEFT(B998,FIND(" ",B998)-1)</f>
        <v>Bajaj</v>
      </c>
      <c r="D998" t="str">
        <f>TRIM(RIGHT(E998,LEN(E998)-FIND("@",SUBSTITUTE(E998,"|","@",LEN(E998)-LEN(SUBSTITUTE(E998,"|",""))))))</f>
        <v>DryIrons</v>
      </c>
      <c r="E998" t="s">
        <v>2041</v>
      </c>
      <c r="F998">
        <v>775</v>
      </c>
      <c r="G998">
        <v>875</v>
      </c>
      <c r="H998" s="6">
        <v>11</v>
      </c>
      <c r="I998">
        <v>4.2</v>
      </c>
      <c r="J998" s="1">
        <v>46647</v>
      </c>
    </row>
    <row r="999" spans="1:10">
      <c r="A999" t="s">
        <v>2135</v>
      </c>
      <c r="B999" t="s">
        <v>2136</v>
      </c>
      <c r="C999" t="str">
        <f>LEFT(B999,FIND(" ",B999)-1)</f>
        <v>Bajaj</v>
      </c>
      <c r="D999" t="str">
        <f>TRIM(RIGHT(E999,LEN(E999)-FIND("@",SUBSTITUTE(E999,"|","@",LEN(E999)-LEN(SUBSTITUTE(E999,"|",""))))))</f>
        <v>StorageWaterHeaters</v>
      </c>
      <c r="E999" t="s">
        <v>2060</v>
      </c>
      <c r="F999" s="1">
        <v>6299</v>
      </c>
      <c r="G999" s="1">
        <v>15270</v>
      </c>
      <c r="H999" s="6">
        <v>59</v>
      </c>
      <c r="I999">
        <v>4.0999999999999996</v>
      </c>
      <c r="J999" s="1">
        <v>3233</v>
      </c>
    </row>
    <row r="1000" spans="1:10">
      <c r="A1000" t="s">
        <v>2137</v>
      </c>
      <c r="B1000" t="s">
        <v>2138</v>
      </c>
      <c r="C1000" t="str">
        <f>LEFT(B1000,FIND(" ",B1000)-1)</f>
        <v>PHILIPS</v>
      </c>
      <c r="D1000" t="str">
        <f>TRIM(RIGHT(E1000,LEN(E1000)-FIND("@",SUBSTITUTE(E1000,"|","@",LEN(E1000)-LEN(SUBSTITUTE(E1000,"|",""))))))</f>
        <v>SteamIrons</v>
      </c>
      <c r="E1000" t="s">
        <v>2088</v>
      </c>
      <c r="F1000" s="1">
        <v>3190</v>
      </c>
      <c r="G1000" s="1">
        <v>4195</v>
      </c>
      <c r="H1000" s="6">
        <v>24</v>
      </c>
      <c r="I1000">
        <v>4</v>
      </c>
      <c r="J1000" s="1">
        <v>1282</v>
      </c>
    </row>
    <row r="1001" spans="1:10">
      <c r="A1001" t="s">
        <v>2139</v>
      </c>
      <c r="B1001" t="s">
        <v>2140</v>
      </c>
      <c r="C1001" t="str">
        <f>LEFT(B1001,FIND(" ",B1001)-1)</f>
        <v>Room</v>
      </c>
      <c r="D1001" t="str">
        <f>TRIM(RIGHT(E1001,LEN(E1001)-FIND("@",SUBSTITUTE(E1001,"|","@",LEN(E1001)-LEN(SUBSTITUTE(E1001,"|",""))))))</f>
        <v>ElectricHeaters</v>
      </c>
      <c r="E1001" t="s">
        <v>2005</v>
      </c>
      <c r="F1001">
        <v>799</v>
      </c>
      <c r="G1001" s="1">
        <v>1989</v>
      </c>
      <c r="H1001" s="6">
        <v>6</v>
      </c>
      <c r="I1001">
        <v>4.3</v>
      </c>
      <c r="J1001">
        <v>70</v>
      </c>
    </row>
    <row r="1002" spans="1:10">
      <c r="A1002" t="s">
        <v>2141</v>
      </c>
      <c r="B1002" t="s">
        <v>2142</v>
      </c>
      <c r="C1002" t="str">
        <f>LEFT(B1002,FIND(" ",B1002)-1)</f>
        <v>Wonderchef</v>
      </c>
      <c r="D1002" t="str">
        <f>TRIM(RIGHT(E1002,LEN(E1002)-FIND("@",SUBSTITUTE(E1002,"|","@",LEN(E1002)-LEN(SUBSTITUTE(E1002,"|",""))))))</f>
        <v>JuicerMixerGrinders</v>
      </c>
      <c r="E1002" t="s">
        <v>2097</v>
      </c>
      <c r="F1002" s="1">
        <v>2699</v>
      </c>
      <c r="G1002" s="1">
        <v>5000</v>
      </c>
      <c r="H1002" s="6">
        <v>46</v>
      </c>
      <c r="I1002">
        <v>4</v>
      </c>
      <c r="J1002" s="1">
        <v>26164</v>
      </c>
    </row>
    <row r="1003" spans="1:10">
      <c r="A1003" t="s">
        <v>2143</v>
      </c>
      <c r="B1003" t="s">
        <v>2144</v>
      </c>
      <c r="C1003" t="str">
        <f>LEFT(B1003,FIND(" ",B1003)-1)</f>
        <v>USHA</v>
      </c>
      <c r="D1003" t="str">
        <f>TRIM(RIGHT(E1003,LEN(E1003)-FIND("@",SUBSTITUTE(E1003,"|","@",LEN(E1003)-LEN(SUBSTITUTE(E1003,"|",""))))))</f>
        <v>DryIrons</v>
      </c>
      <c r="E1003" t="s">
        <v>2041</v>
      </c>
      <c r="F1003">
        <v>599</v>
      </c>
      <c r="G1003">
        <v>990</v>
      </c>
      <c r="H1003" s="6">
        <v>39</v>
      </c>
      <c r="I1003">
        <v>3.9</v>
      </c>
      <c r="J1003" s="1">
        <v>16166</v>
      </c>
    </row>
    <row r="1004" spans="1:10">
      <c r="A1004" t="s">
        <v>2145</v>
      </c>
      <c r="B1004" t="s">
        <v>2146</v>
      </c>
      <c r="C1004" t="str">
        <f>LEFT(B1004,FIND(" ",B1004)-1)</f>
        <v>Butterfly</v>
      </c>
      <c r="D1004" t="str">
        <f>TRIM(RIGHT(E1004,LEN(E1004)-FIND("@",SUBSTITUTE(E1004,"|","@",LEN(E1004)-LEN(SUBSTITUTE(E1004,"|",""))))))</f>
        <v>Kettle&amp;ToasterSets</v>
      </c>
      <c r="E1004" t="s">
        <v>2057</v>
      </c>
      <c r="F1004">
        <v>749</v>
      </c>
      <c r="G1004" s="1">
        <v>1111</v>
      </c>
      <c r="H1004" s="6">
        <v>33</v>
      </c>
      <c r="I1004">
        <v>4.2</v>
      </c>
      <c r="J1004" s="1">
        <v>35693</v>
      </c>
    </row>
    <row r="1005" spans="1:10">
      <c r="A1005" t="s">
        <v>2147</v>
      </c>
      <c r="B1005" t="s">
        <v>2148</v>
      </c>
      <c r="C1005" t="str">
        <f>LEFT(B1005,FIND(" ",B1005)-1)</f>
        <v>Crompton</v>
      </c>
      <c r="D1005" t="str">
        <f>TRIM(RIGHT(E1005,LEN(E1005)-FIND("@",SUBSTITUTE(E1005,"|","@",LEN(E1005)-LEN(SUBSTITUTE(E1005,"|",""))))))</f>
        <v>StorageWaterHeaters</v>
      </c>
      <c r="E1005" t="s">
        <v>2060</v>
      </c>
      <c r="F1005" s="1">
        <v>6199</v>
      </c>
      <c r="G1005" s="1">
        <v>10400</v>
      </c>
      <c r="H1005" s="6">
        <v>4</v>
      </c>
      <c r="I1005">
        <v>4.0999999999999996</v>
      </c>
      <c r="J1005" s="1">
        <v>14391</v>
      </c>
    </row>
    <row r="1006" spans="1:10">
      <c r="A1006" t="s">
        <v>2149</v>
      </c>
      <c r="B1006" t="s">
        <v>2150</v>
      </c>
      <c r="C1006" t="str">
        <f>LEFT(B1006,FIND(" ",B1006)-1)</f>
        <v>Borosil</v>
      </c>
      <c r="D1006" t="str">
        <f>TRIM(RIGHT(E1006,LEN(E1006)-FIND("@",SUBSTITUTE(E1006,"|","@",LEN(E1006)-LEN(SUBSTITUTE(E1006,"|",""))))))</f>
        <v>MiniFoodProcessors&amp;Choppers</v>
      </c>
      <c r="E1006" t="s">
        <v>2151</v>
      </c>
      <c r="F1006" s="1">
        <v>1819</v>
      </c>
      <c r="G1006" s="1">
        <v>2490</v>
      </c>
      <c r="H1006" s="6">
        <v>27</v>
      </c>
      <c r="I1006">
        <v>4.4000000000000004</v>
      </c>
      <c r="J1006" s="1">
        <v>7946</v>
      </c>
    </row>
    <row r="1007" spans="1:10">
      <c r="A1007" t="s">
        <v>2152</v>
      </c>
      <c r="B1007" t="s">
        <v>2153</v>
      </c>
      <c r="C1007" t="str">
        <f>LEFT(B1007,FIND(" ",B1007)-1)</f>
        <v>KENT</v>
      </c>
      <c r="D1007" t="str">
        <f>TRIM(RIGHT(E1007,LEN(E1007)-FIND("@",SUBSTITUTE(E1007,"|","@",LEN(E1007)-LEN(SUBSTITUTE(E1007,"|",""))))))</f>
        <v>Kettle&amp;ToasterSets</v>
      </c>
      <c r="E1007" t="s">
        <v>2057</v>
      </c>
      <c r="F1007" s="1">
        <v>1199</v>
      </c>
      <c r="G1007" s="1">
        <v>1900</v>
      </c>
      <c r="H1007" s="6">
        <v>37</v>
      </c>
      <c r="I1007">
        <v>4</v>
      </c>
      <c r="J1007" s="1">
        <v>1765</v>
      </c>
    </row>
    <row r="1008" spans="1:10">
      <c r="A1008" t="s">
        <v>2154</v>
      </c>
      <c r="B1008" t="s">
        <v>2155</v>
      </c>
      <c r="C1008" t="str">
        <f>LEFT(B1008,FIND(" ",B1008)-1)</f>
        <v>Prestige</v>
      </c>
      <c r="D1008" t="str">
        <f>TRIM(RIGHT(E1008,LEN(E1008)-FIND("@",SUBSTITUTE(E1008,"|","@",LEN(E1008)-LEN(SUBSTITUTE(E1008,"|",""))))))</f>
        <v>MixerGrinders</v>
      </c>
      <c r="E1008" t="s">
        <v>2044</v>
      </c>
      <c r="F1008" s="1">
        <v>3249</v>
      </c>
      <c r="G1008" s="1">
        <v>6295</v>
      </c>
      <c r="H1008" s="6">
        <v>48</v>
      </c>
      <c r="I1008">
        <v>3.8</v>
      </c>
      <c r="J1008" s="1">
        <v>14062</v>
      </c>
    </row>
    <row r="1009" spans="1:10">
      <c r="A1009" t="s">
        <v>2156</v>
      </c>
      <c r="B1009" t="s">
        <v>2157</v>
      </c>
      <c r="C1009" t="str">
        <f>LEFT(B1009,FIND(" ",B1009)-1)</f>
        <v>Simxen</v>
      </c>
      <c r="D1009" t="str">
        <f>TRIM(RIGHT(E1009,LEN(E1009)-FIND("@",SUBSTITUTE(E1009,"|","@",LEN(E1009)-LEN(SUBSTITUTE(E1009,"|",""))))))</f>
        <v>EggBoilers</v>
      </c>
      <c r="E1009" t="s">
        <v>2117</v>
      </c>
      <c r="F1009">
        <v>349</v>
      </c>
      <c r="G1009">
        <v>999</v>
      </c>
      <c r="H1009" s="6">
        <v>65</v>
      </c>
      <c r="I1009">
        <v>4</v>
      </c>
      <c r="J1009" s="1">
        <v>15646</v>
      </c>
    </row>
    <row r="1010" spans="1:10">
      <c r="A1010" t="s">
        <v>2158</v>
      </c>
      <c r="B1010" t="s">
        <v>2159</v>
      </c>
      <c r="C1010" t="str">
        <f>LEFT(B1010,FIND(" ",B1010)-1)</f>
        <v>Amazon</v>
      </c>
      <c r="D1010" t="str">
        <f>TRIM(RIGHT(E1010,LEN(E1010)-FIND("@",SUBSTITUTE(E1010,"|","@",LEN(E1010)-LEN(SUBSTITUTE(E1010,"|",""))))))</f>
        <v>FanHeaters</v>
      </c>
      <c r="E1010" t="s">
        <v>2008</v>
      </c>
      <c r="F1010" s="1">
        <v>1049</v>
      </c>
      <c r="G1010" s="1">
        <v>1699</v>
      </c>
      <c r="H1010" s="6">
        <v>38</v>
      </c>
      <c r="I1010">
        <v>3.1</v>
      </c>
      <c r="J1010">
        <v>111</v>
      </c>
    </row>
    <row r="1011" spans="1:10">
      <c r="A1011" t="s">
        <v>2160</v>
      </c>
      <c r="B1011" t="s">
        <v>2161</v>
      </c>
      <c r="C1011" t="str">
        <f>LEFT(B1011,FIND(" ",B1011)-1)</f>
        <v>HealthSense</v>
      </c>
      <c r="D1011" t="str">
        <f>TRIM(RIGHT(E1011,LEN(E1011)-FIND("@",SUBSTITUTE(E1011,"|","@",LEN(E1011)-LEN(SUBSTITUTE(E1011,"|",""))))))</f>
        <v>DigitalScales</v>
      </c>
      <c r="E1011" t="s">
        <v>2162</v>
      </c>
      <c r="F1011">
        <v>799</v>
      </c>
      <c r="G1011" s="1">
        <v>1500</v>
      </c>
      <c r="H1011" s="6">
        <v>47</v>
      </c>
      <c r="I1011">
        <v>4.3</v>
      </c>
      <c r="J1011" s="1">
        <v>9695</v>
      </c>
    </row>
    <row r="1012" spans="1:10">
      <c r="A1012" t="s">
        <v>2163</v>
      </c>
      <c r="B1012" t="s">
        <v>2164</v>
      </c>
      <c r="C1012" t="str">
        <f>LEFT(B1012,FIND(" ",B1012)-1)</f>
        <v>Bajaj</v>
      </c>
      <c r="D1012" t="str">
        <f>TRIM(RIGHT(E1012,LEN(E1012)-FIND("@",SUBSTITUTE(E1012,"|","@",LEN(E1012)-LEN(SUBSTITUTE(E1012,"|",""))))))</f>
        <v>StorageWaterHeaters</v>
      </c>
      <c r="E1012" t="s">
        <v>2060</v>
      </c>
      <c r="F1012" s="1">
        <v>4999</v>
      </c>
      <c r="G1012" s="1">
        <v>9650</v>
      </c>
      <c r="H1012" s="6">
        <v>48</v>
      </c>
      <c r="I1012">
        <v>4.2</v>
      </c>
      <c r="J1012" s="1">
        <v>1772</v>
      </c>
    </row>
    <row r="1013" spans="1:10">
      <c r="A1013" t="s">
        <v>2165</v>
      </c>
      <c r="B1013" t="s">
        <v>2166</v>
      </c>
      <c r="C1013" t="str">
        <f>LEFT(B1013,FIND(" ",B1013)-1)</f>
        <v>Bosch</v>
      </c>
      <c r="D1013" t="str">
        <f>TRIM(RIGHT(E1013,LEN(E1013)-FIND("@",SUBSTITUTE(E1013,"|","@",LEN(E1013)-LEN(SUBSTITUTE(E1013,"|",""))))))</f>
        <v>MixerGrinders</v>
      </c>
      <c r="E1013" t="s">
        <v>2044</v>
      </c>
      <c r="F1013" s="1">
        <v>6999</v>
      </c>
      <c r="G1013" s="1">
        <v>10590</v>
      </c>
      <c r="H1013" s="6">
        <v>34</v>
      </c>
      <c r="I1013">
        <v>4.4000000000000004</v>
      </c>
      <c r="J1013" s="1">
        <v>11499</v>
      </c>
    </row>
    <row r="1014" spans="1:10">
      <c r="A1014" t="s">
        <v>2167</v>
      </c>
      <c r="B1014" t="s">
        <v>2168</v>
      </c>
      <c r="C1014" t="str">
        <f>LEFT(B1014,FIND(" ",B1014)-1)</f>
        <v>Bulfyss</v>
      </c>
      <c r="D1014" t="str">
        <f>TRIM(RIGHT(E1014,LEN(E1014)-FIND("@",SUBSTITUTE(E1014,"|","@",LEN(E1014)-LEN(SUBSTITUTE(E1014,"|",""))))))</f>
        <v>DigitalKitchenScales</v>
      </c>
      <c r="E1014" t="s">
        <v>2014</v>
      </c>
      <c r="F1014">
        <v>799</v>
      </c>
      <c r="G1014" s="1">
        <v>1999</v>
      </c>
      <c r="H1014" s="6">
        <v>6</v>
      </c>
      <c r="I1014">
        <v>4.0999999999999996</v>
      </c>
      <c r="J1014" s="1">
        <v>2162</v>
      </c>
    </row>
    <row r="1015" spans="1:10">
      <c r="A1015" t="s">
        <v>2169</v>
      </c>
      <c r="B1015" t="s">
        <v>2170</v>
      </c>
      <c r="C1015" t="str">
        <f>LEFT(B1015,FIND(" ",B1015)-1)</f>
        <v>VR</v>
      </c>
      <c r="D1015" t="str">
        <f>TRIM(RIGHT(E1015,LEN(E1015)-FIND("@",SUBSTITUTE(E1015,"|","@",LEN(E1015)-LEN(SUBSTITUTE(E1015,"|",""))))))</f>
        <v>VacuumSealers</v>
      </c>
      <c r="E1015" t="s">
        <v>2171</v>
      </c>
      <c r="F1015">
        <v>89</v>
      </c>
      <c r="G1015">
        <v>89</v>
      </c>
      <c r="H1015" s="6">
        <v>0</v>
      </c>
      <c r="I1015">
        <v>4.2</v>
      </c>
      <c r="J1015" s="1">
        <v>19621</v>
      </c>
    </row>
    <row r="1016" spans="1:10">
      <c r="A1016" t="s">
        <v>2172</v>
      </c>
      <c r="B1016" t="s">
        <v>2173</v>
      </c>
      <c r="C1016" t="str">
        <f>LEFT(B1016,FIND(" ",B1016)-1)</f>
        <v>Orient</v>
      </c>
      <c r="D1016" t="str">
        <f>TRIM(RIGHT(E1016,LEN(E1016)-FIND("@",SUBSTITUTE(E1016,"|","@",LEN(E1016)-LEN(SUBSTITUTE(E1016,"|",""))))))</f>
        <v>CeilingFans</v>
      </c>
      <c r="E1016" t="s">
        <v>2174</v>
      </c>
      <c r="F1016" s="1">
        <v>1400</v>
      </c>
      <c r="G1016" s="1">
        <v>2485</v>
      </c>
      <c r="H1016" s="6">
        <v>44</v>
      </c>
      <c r="I1016">
        <v>4.0999999999999996</v>
      </c>
      <c r="J1016" s="1">
        <v>19998</v>
      </c>
    </row>
    <row r="1017" spans="1:10">
      <c r="A1017" t="s">
        <v>2175</v>
      </c>
      <c r="B1017" t="s">
        <v>2176</v>
      </c>
      <c r="C1017" t="str">
        <f>LEFT(B1017,FIND(" ",B1017)-1)</f>
        <v>PrettyKrafts</v>
      </c>
      <c r="D1017" t="str">
        <f>TRIM(RIGHT(E1017,LEN(E1017)-FIND("@",SUBSTITUTE(E1017,"|","@",LEN(E1017)-LEN(SUBSTITUTE(E1017,"|",""))))))</f>
        <v>LaundryBaskets</v>
      </c>
      <c r="E1017" t="s">
        <v>2085</v>
      </c>
      <c r="F1017">
        <v>355</v>
      </c>
      <c r="G1017">
        <v>899</v>
      </c>
      <c r="H1017" s="6">
        <v>61</v>
      </c>
      <c r="I1017">
        <v>4.0999999999999996</v>
      </c>
      <c r="J1017" s="1">
        <v>1051</v>
      </c>
    </row>
    <row r="1018" spans="1:10">
      <c r="A1018" t="s">
        <v>2177</v>
      </c>
      <c r="B1018" t="s">
        <v>2178</v>
      </c>
      <c r="C1018" t="str">
        <f>LEFT(B1018,FIND(" ",B1018)-1)</f>
        <v>Bajaj</v>
      </c>
      <c r="D1018" t="str">
        <f>TRIM(RIGHT(E1018,LEN(E1018)-FIND("@",SUBSTITUTE(E1018,"|","@",LEN(E1018)-LEN(SUBSTITUTE(E1018,"|",""))))))</f>
        <v>ElectricHeaters</v>
      </c>
      <c r="E1018" t="s">
        <v>2005</v>
      </c>
      <c r="F1018" s="1">
        <v>2169</v>
      </c>
      <c r="G1018" s="1">
        <v>3279</v>
      </c>
      <c r="H1018" s="6">
        <v>34</v>
      </c>
      <c r="I1018">
        <v>4.0999999999999996</v>
      </c>
      <c r="J1018" s="1">
        <v>1716</v>
      </c>
    </row>
    <row r="1019" spans="1:10">
      <c r="A1019" t="s">
        <v>2179</v>
      </c>
      <c r="B1019" t="s">
        <v>2180</v>
      </c>
      <c r="C1019" t="str">
        <f>LEFT(B1019,FIND(" ",B1019)-1)</f>
        <v>Eureka</v>
      </c>
      <c r="D1019" t="str">
        <f>TRIM(RIGHT(E1019,LEN(E1019)-FIND("@",SUBSTITUTE(E1019,"|","@",LEN(E1019)-LEN(SUBSTITUTE(E1019,"|",""))))))</f>
        <v>CanisterVacuums</v>
      </c>
      <c r="E1019" t="s">
        <v>2181</v>
      </c>
      <c r="F1019" s="1">
        <v>2799</v>
      </c>
      <c r="G1019" s="1">
        <v>3799</v>
      </c>
      <c r="H1019" s="6">
        <v>26</v>
      </c>
      <c r="I1019">
        <v>3.9</v>
      </c>
      <c r="J1019" s="1">
        <v>32931</v>
      </c>
    </row>
    <row r="1020" spans="1:10">
      <c r="A1020" t="s">
        <v>2182</v>
      </c>
      <c r="B1020" t="s">
        <v>2183</v>
      </c>
      <c r="C1020" t="str">
        <f>LEFT(B1020,FIND(" ",B1020)-1)</f>
        <v>Pigeon</v>
      </c>
      <c r="D1020" t="str">
        <f>TRIM(RIGHT(E1020,LEN(E1020)-FIND("@",SUBSTITUTE(E1020,"|","@",LEN(E1020)-LEN(SUBSTITUTE(E1020,"|",""))))))</f>
        <v>ElectricKettles</v>
      </c>
      <c r="E1020" t="s">
        <v>2001</v>
      </c>
      <c r="F1020">
        <v>899</v>
      </c>
      <c r="G1020" s="1">
        <v>1249</v>
      </c>
      <c r="H1020" s="6">
        <v>28</v>
      </c>
      <c r="I1020">
        <v>3.9</v>
      </c>
      <c r="J1020" s="1">
        <v>17424</v>
      </c>
    </row>
    <row r="1021" spans="1:10">
      <c r="A1021" t="s">
        <v>2184</v>
      </c>
      <c r="B1021" t="s">
        <v>2185</v>
      </c>
      <c r="C1021" t="str">
        <f>LEFT(B1021,FIND(" ",B1021)-1)</f>
        <v>Maharaja</v>
      </c>
      <c r="D1021" t="str">
        <f>TRIM(RIGHT(E1021,LEN(E1021)-FIND("@",SUBSTITUTE(E1021,"|","@",LEN(E1021)-LEN(SUBSTITUTE(E1021,"|",""))))))</f>
        <v>RoomHeaters</v>
      </c>
      <c r="E1021" t="s">
        <v>2050</v>
      </c>
      <c r="F1021" s="1">
        <v>2499</v>
      </c>
      <c r="G1021" s="1">
        <v>5000</v>
      </c>
      <c r="H1021" s="6">
        <v>5</v>
      </c>
      <c r="I1021">
        <v>3.8</v>
      </c>
      <c r="J1021" s="1">
        <v>1889</v>
      </c>
    </row>
    <row r="1022" spans="1:10">
      <c r="A1022" t="s">
        <v>2186</v>
      </c>
      <c r="B1022" t="s">
        <v>2187</v>
      </c>
      <c r="C1022" t="str">
        <f>LEFT(B1022,FIND(" ",B1022)-1)</f>
        <v>Crompton</v>
      </c>
      <c r="D1022" t="str">
        <f>TRIM(RIGHT(E1022,LEN(E1022)-FIND("@",SUBSTITUTE(E1022,"|","@",LEN(E1022)-LEN(SUBSTITUTE(E1022,"|",""))))))</f>
        <v>InstantWaterHeaters</v>
      </c>
      <c r="E1022" t="s">
        <v>2047</v>
      </c>
      <c r="F1022" s="1">
        <v>3599</v>
      </c>
      <c r="G1022" s="1">
        <v>7299</v>
      </c>
      <c r="H1022" s="6">
        <v>51</v>
      </c>
      <c r="I1022">
        <v>4</v>
      </c>
      <c r="J1022" s="1">
        <v>10324</v>
      </c>
    </row>
    <row r="1023" spans="1:10">
      <c r="A1023" t="s">
        <v>2188</v>
      </c>
      <c r="B1023" t="s">
        <v>2189</v>
      </c>
      <c r="C1023" t="str">
        <f>LEFT(B1023,FIND(" ",B1023)-1)</f>
        <v>Bajaj</v>
      </c>
      <c r="D1023" t="str">
        <f>TRIM(RIGHT(E1023,LEN(E1023)-FIND("@",SUBSTITUTE(E1023,"|","@",LEN(E1023)-LEN(SUBSTITUTE(E1023,"|",""))))))</f>
        <v>DryIrons</v>
      </c>
      <c r="E1023" t="s">
        <v>2041</v>
      </c>
      <c r="F1023">
        <v>499</v>
      </c>
      <c r="G1023">
        <v>625</v>
      </c>
      <c r="H1023" s="6">
        <v>2</v>
      </c>
      <c r="I1023">
        <v>4.2</v>
      </c>
      <c r="J1023" s="1">
        <v>5355</v>
      </c>
    </row>
    <row r="1024" spans="1:10">
      <c r="A1024" t="s">
        <v>2190</v>
      </c>
      <c r="B1024" t="s">
        <v>2191</v>
      </c>
      <c r="C1024" t="str">
        <f>LEFT(B1024,FIND(" ",B1024)-1)</f>
        <v>Bajaj</v>
      </c>
      <c r="D1024" t="str">
        <f>TRIM(RIGHT(E1024,LEN(E1024)-FIND("@",SUBSTITUTE(E1024,"|","@",LEN(E1024)-LEN(SUBSTITUTE(E1024,"|",""))))))</f>
        <v>ImmersionRods</v>
      </c>
      <c r="E1024" t="s">
        <v>2075</v>
      </c>
      <c r="F1024">
        <v>653</v>
      </c>
      <c r="G1024" s="1">
        <v>1020</v>
      </c>
      <c r="H1024" s="6">
        <v>36</v>
      </c>
      <c r="I1024">
        <v>4.0999999999999996</v>
      </c>
      <c r="J1024" s="1">
        <v>3366</v>
      </c>
    </row>
    <row r="1025" spans="1:10">
      <c r="A1025" t="s">
        <v>2192</v>
      </c>
      <c r="B1025" t="s">
        <v>2193</v>
      </c>
      <c r="C1025" t="str">
        <f>LEFT(B1025,FIND(" ",B1025)-1)</f>
        <v>AGARO</v>
      </c>
      <c r="D1025" t="str">
        <f>TRIM(RIGHT(E1025,LEN(E1025)-FIND("@",SUBSTITUTE(E1025,"|","@",LEN(E1025)-LEN(SUBSTITUTE(E1025,"|",""))))))</f>
        <v>PressureWashers,Steam&amp;WindowCleaners</v>
      </c>
      <c r="E1025" t="s">
        <v>2194</v>
      </c>
      <c r="F1025" s="1">
        <v>4789</v>
      </c>
      <c r="G1025" s="1">
        <v>8990</v>
      </c>
      <c r="H1025" s="6">
        <v>47</v>
      </c>
      <c r="I1025">
        <v>4.3</v>
      </c>
      <c r="J1025" s="1">
        <v>1017</v>
      </c>
    </row>
    <row r="1026" spans="1:10">
      <c r="A1026" t="s">
        <v>2195</v>
      </c>
      <c r="B1026" t="s">
        <v>2196</v>
      </c>
      <c r="C1026" t="str">
        <f>LEFT(B1026,FIND(" ",B1026)-1)</f>
        <v>Bajaj</v>
      </c>
      <c r="D1026" t="str">
        <f>TRIM(RIGHT(E1026,LEN(E1026)-FIND("@",SUBSTITUTE(E1026,"|","@",LEN(E1026)-LEN(SUBSTITUTE(E1026,"|",""))))))</f>
        <v>HalogenHeaters</v>
      </c>
      <c r="E1026" t="s">
        <v>2197</v>
      </c>
      <c r="F1026" s="1">
        <v>1409</v>
      </c>
      <c r="G1026" s="1">
        <v>1639</v>
      </c>
      <c r="H1026" s="6">
        <v>14</v>
      </c>
      <c r="I1026">
        <v>3.7</v>
      </c>
      <c r="J1026">
        <v>787</v>
      </c>
    </row>
    <row r="1027" spans="1:10">
      <c r="A1027" t="s">
        <v>2198</v>
      </c>
      <c r="B1027" t="s">
        <v>2199</v>
      </c>
      <c r="C1027" t="str">
        <f>LEFT(B1027,FIND(" ",B1027)-1)</f>
        <v>Orpat</v>
      </c>
      <c r="D1027" t="str">
        <f>TRIM(RIGHT(E1027,LEN(E1027)-FIND("@",SUBSTITUTE(E1027,"|","@",LEN(E1027)-LEN(SUBSTITUTE(E1027,"|",""))))))</f>
        <v>HandBlenders</v>
      </c>
      <c r="E1027" t="s">
        <v>2038</v>
      </c>
      <c r="F1027">
        <v>753</v>
      </c>
      <c r="G1027">
        <v>899</v>
      </c>
      <c r="H1027" s="6">
        <v>16</v>
      </c>
      <c r="I1027">
        <v>4.2</v>
      </c>
      <c r="J1027" s="1">
        <v>18462</v>
      </c>
    </row>
    <row r="1028" spans="1:10">
      <c r="A1028" t="s">
        <v>2200</v>
      </c>
      <c r="B1028" t="s">
        <v>2201</v>
      </c>
      <c r="C1028" t="str">
        <f>LEFT(B1028,FIND(" ",B1028)-1)</f>
        <v>GILTON</v>
      </c>
      <c r="D1028" t="str">
        <f>TRIM(RIGHT(E1028,LEN(E1028)-FIND("@",SUBSTITUTE(E1028,"|","@",LEN(E1028)-LEN(SUBSTITUTE(E1028,"|",""))))))</f>
        <v>EggBoilers</v>
      </c>
      <c r="E1028" t="s">
        <v>2117</v>
      </c>
      <c r="F1028">
        <v>353</v>
      </c>
      <c r="G1028" s="1">
        <v>1199</v>
      </c>
      <c r="H1028" s="6">
        <v>71</v>
      </c>
      <c r="I1028">
        <v>4.3</v>
      </c>
      <c r="J1028">
        <v>629</v>
      </c>
    </row>
    <row r="1029" spans="1:10">
      <c r="A1029" t="s">
        <v>2202</v>
      </c>
      <c r="B1029" t="s">
        <v>2203</v>
      </c>
      <c r="C1029" t="str">
        <f>LEFT(B1029,FIND(" ",B1029)-1)</f>
        <v>HealthSense</v>
      </c>
      <c r="D1029" t="str">
        <f>TRIM(RIGHT(E1029,LEN(E1029)-FIND("@",SUBSTITUTE(E1029,"|","@",LEN(E1029)-LEN(SUBSTITUTE(E1029,"|",""))))))</f>
        <v>DigitalKitchenScales</v>
      </c>
      <c r="E1029" t="s">
        <v>2014</v>
      </c>
      <c r="F1029" s="1">
        <v>1099</v>
      </c>
      <c r="G1029" s="1">
        <v>1899</v>
      </c>
      <c r="H1029" s="6">
        <v>42</v>
      </c>
      <c r="I1029">
        <v>4.3</v>
      </c>
      <c r="J1029" s="1">
        <v>15276</v>
      </c>
    </row>
    <row r="1030" spans="1:10">
      <c r="A1030" t="s">
        <v>2204</v>
      </c>
      <c r="B1030" t="s">
        <v>2205</v>
      </c>
      <c r="C1030" t="str">
        <f>LEFT(B1030,FIND(" ",B1030)-1)</f>
        <v>PHILIPS</v>
      </c>
      <c r="D1030" t="str">
        <f>TRIM(RIGHT(E1030,LEN(E1030)-FIND("@",SUBSTITUTE(E1030,"|","@",LEN(E1030)-LEN(SUBSTITUTE(E1030,"|",""))))))</f>
        <v>AirFryers</v>
      </c>
      <c r="E1030" t="s">
        <v>2082</v>
      </c>
      <c r="F1030" s="1">
        <v>8799</v>
      </c>
      <c r="G1030" s="1">
        <v>11595</v>
      </c>
      <c r="H1030" s="6">
        <v>24</v>
      </c>
      <c r="I1030">
        <v>4.4000000000000004</v>
      </c>
      <c r="J1030" s="1">
        <v>2981</v>
      </c>
    </row>
    <row r="1031" spans="1:10">
      <c r="A1031" t="s">
        <v>2206</v>
      </c>
      <c r="B1031" t="s">
        <v>2207</v>
      </c>
      <c r="C1031" t="str">
        <f>LEFT(B1031,FIND(" ",B1031)-1)</f>
        <v>Milton</v>
      </c>
      <c r="D1031" t="str">
        <f>TRIM(RIGHT(E1031,LEN(E1031)-FIND("@",SUBSTITUTE(E1031,"|","@",LEN(E1031)-LEN(SUBSTITUTE(E1031,"|",""))))))</f>
        <v>ElectricKettles</v>
      </c>
      <c r="E1031" t="s">
        <v>2001</v>
      </c>
      <c r="F1031" s="1">
        <v>1345</v>
      </c>
      <c r="G1031" s="1">
        <v>1750</v>
      </c>
      <c r="H1031" s="6">
        <v>23</v>
      </c>
      <c r="I1031">
        <v>3.8</v>
      </c>
      <c r="J1031" s="1">
        <v>2466</v>
      </c>
    </row>
    <row r="1032" spans="1:10">
      <c r="A1032" t="s">
        <v>2208</v>
      </c>
      <c r="B1032" t="s">
        <v>2209</v>
      </c>
      <c r="C1032" t="str">
        <f>LEFT(B1032,FIND(" ",B1032)-1)</f>
        <v>Philips</v>
      </c>
      <c r="D1032" t="str">
        <f>TRIM(RIGHT(E1032,LEN(E1032)-FIND("@",SUBSTITUTE(E1032,"|","@",LEN(E1032)-LEN(SUBSTITUTE(E1032,"|",""))))))</f>
        <v>Pop-upToasters</v>
      </c>
      <c r="E1032" t="s">
        <v>2210</v>
      </c>
      <c r="F1032" s="1">
        <v>2095</v>
      </c>
      <c r="G1032" s="1">
        <v>2095</v>
      </c>
      <c r="H1032" s="6">
        <v>0</v>
      </c>
      <c r="I1032">
        <v>4.5</v>
      </c>
      <c r="J1032" s="1">
        <v>7949</v>
      </c>
    </row>
    <row r="1033" spans="1:10">
      <c r="A1033" t="s">
        <v>2211</v>
      </c>
      <c r="B1033" t="s">
        <v>2212</v>
      </c>
      <c r="C1033" t="str">
        <f>LEFT(B1033,FIND(" ",B1033)-1)</f>
        <v>Crompton</v>
      </c>
      <c r="D1033" t="str">
        <f>TRIM(RIGHT(E1033,LEN(E1033)-FIND("@",SUBSTITUTE(E1033,"|","@",LEN(E1033)-LEN(SUBSTITUTE(E1033,"|",""))))))</f>
        <v>ElectricHeaters</v>
      </c>
      <c r="E1033" t="s">
        <v>2005</v>
      </c>
      <c r="F1033" s="1">
        <v>1498</v>
      </c>
      <c r="G1033" s="1">
        <v>2300</v>
      </c>
      <c r="H1033" s="6">
        <v>35</v>
      </c>
      <c r="I1033">
        <v>3.8</v>
      </c>
      <c r="J1033">
        <v>95</v>
      </c>
    </row>
    <row r="1034" spans="1:10">
      <c r="A1034" t="s">
        <v>2213</v>
      </c>
      <c r="B1034" t="s">
        <v>2214</v>
      </c>
      <c r="C1034" t="str">
        <f>LEFT(B1034,FIND(" ",B1034)-1)</f>
        <v>USHA</v>
      </c>
      <c r="D1034" t="str">
        <f>TRIM(RIGHT(E1034,LEN(E1034)-FIND("@",SUBSTITUTE(E1034,"|","@",LEN(E1034)-LEN(SUBSTITUTE(E1034,"|",""))))))</f>
        <v>HeatConvectors</v>
      </c>
      <c r="E1034" t="s">
        <v>2215</v>
      </c>
      <c r="F1034" s="1">
        <v>2199</v>
      </c>
      <c r="G1034" s="1">
        <v>2990</v>
      </c>
      <c r="H1034" s="6">
        <v>26</v>
      </c>
      <c r="I1034">
        <v>3.8</v>
      </c>
      <c r="J1034" s="1">
        <v>1558</v>
      </c>
    </row>
    <row r="1035" spans="1:10">
      <c r="A1035" t="s">
        <v>2216</v>
      </c>
      <c r="B1035" t="s">
        <v>2217</v>
      </c>
      <c r="C1035" t="str">
        <f>LEFT(B1035,FIND(" ",B1035)-1)</f>
        <v>Philips</v>
      </c>
      <c r="D1035" t="str">
        <f>TRIM(RIGHT(E1035,LEN(E1035)-FIND("@",SUBSTITUTE(E1035,"|","@",LEN(E1035)-LEN(SUBSTITUTE(E1035,"|",""))))))</f>
        <v>MixerGrinders</v>
      </c>
      <c r="E1035" t="s">
        <v>2044</v>
      </c>
      <c r="F1035" s="1">
        <v>3699</v>
      </c>
      <c r="G1035" s="1">
        <v>4295</v>
      </c>
      <c r="H1035" s="6">
        <v>14</v>
      </c>
      <c r="I1035">
        <v>4.0999999999999996</v>
      </c>
      <c r="J1035" s="1">
        <v>26543</v>
      </c>
    </row>
    <row r="1036" spans="1:10">
      <c r="A1036" t="s">
        <v>2218</v>
      </c>
      <c r="B1036" t="s">
        <v>2219</v>
      </c>
      <c r="C1036" t="str">
        <f>LEFT(B1036,FIND(" ",B1036)-1)</f>
        <v>Kuber</v>
      </c>
      <c r="D1036" t="str">
        <f>TRIM(RIGHT(E1036,LEN(E1036)-FIND("@",SUBSTITUTE(E1036,"|","@",LEN(E1036)-LEN(SUBSTITUTE(E1036,"|",""))))))</f>
        <v>LaundryBaskets</v>
      </c>
      <c r="E1036" t="s">
        <v>2085</v>
      </c>
      <c r="F1036">
        <v>177</v>
      </c>
      <c r="G1036">
        <v>199</v>
      </c>
      <c r="H1036" s="6">
        <v>11</v>
      </c>
      <c r="I1036">
        <v>4.0999999999999996</v>
      </c>
      <c r="J1036" s="1">
        <v>3688</v>
      </c>
    </row>
    <row r="1037" spans="1:10">
      <c r="A1037" t="s">
        <v>2220</v>
      </c>
      <c r="B1037" t="s">
        <v>2221</v>
      </c>
      <c r="C1037" t="str">
        <f>LEFT(B1037,FIND(" ",B1037)-1)</f>
        <v>Lifelong</v>
      </c>
      <c r="D1037" t="str">
        <f>TRIM(RIGHT(E1037,LEN(E1037)-FIND("@",SUBSTITUTE(E1037,"|","@",LEN(E1037)-LEN(SUBSTITUTE(E1037,"|",""))))))</f>
        <v>MixerGrinders</v>
      </c>
      <c r="E1037" t="s">
        <v>2044</v>
      </c>
      <c r="F1037" s="1">
        <v>1149</v>
      </c>
      <c r="G1037" s="1">
        <v>2499</v>
      </c>
      <c r="H1037" s="6">
        <v>54</v>
      </c>
      <c r="I1037">
        <v>3.8</v>
      </c>
      <c r="J1037" s="1">
        <v>4383</v>
      </c>
    </row>
    <row r="1038" spans="1:10">
      <c r="A1038" t="s">
        <v>2222</v>
      </c>
      <c r="B1038" t="s">
        <v>2223</v>
      </c>
      <c r="C1038" t="str">
        <f>LEFT(B1038,FIND(" ",B1038)-1)</f>
        <v>IKEA</v>
      </c>
      <c r="D1038" t="str">
        <f>TRIM(RIGHT(E1038,LEN(E1038)-FIND("@",SUBSTITUTE(E1038,"|","@",LEN(E1038)-LEN(SUBSTITUTE(E1038,"|",""))))))</f>
        <v>ElectricGrinders</v>
      </c>
      <c r="E1038" t="s">
        <v>2224</v>
      </c>
      <c r="F1038">
        <v>244</v>
      </c>
      <c r="G1038">
        <v>499</v>
      </c>
      <c r="H1038" s="6">
        <v>51</v>
      </c>
      <c r="I1038">
        <v>3.3</v>
      </c>
      <c r="J1038">
        <v>478</v>
      </c>
    </row>
    <row r="1039" spans="1:10">
      <c r="A1039" t="s">
        <v>2225</v>
      </c>
      <c r="B1039" t="s">
        <v>2226</v>
      </c>
      <c r="C1039" t="str">
        <f>LEFT(B1039,FIND(" ",B1039)-1)</f>
        <v>Crompton</v>
      </c>
      <c r="D1039" t="str">
        <f>TRIM(RIGHT(E1039,LEN(E1039)-FIND("@",SUBSTITUTE(E1039,"|","@",LEN(E1039)-LEN(SUBSTITUTE(E1039,"|",""))))))</f>
        <v>ElectricHeaters</v>
      </c>
      <c r="E1039" t="s">
        <v>2005</v>
      </c>
      <c r="F1039" s="1">
        <v>1959</v>
      </c>
      <c r="G1039" s="1">
        <v>2400</v>
      </c>
      <c r="H1039" s="6">
        <v>18</v>
      </c>
      <c r="I1039">
        <v>4</v>
      </c>
      <c r="J1039">
        <v>237</v>
      </c>
    </row>
    <row r="1040" spans="1:10">
      <c r="A1040" t="s">
        <v>2227</v>
      </c>
      <c r="B1040" t="s">
        <v>2228</v>
      </c>
      <c r="C1040" t="str">
        <f>LEFT(B1040,FIND(" ",B1040)-1)</f>
        <v>Lint</v>
      </c>
      <c r="D1040" t="str">
        <f>TRIM(RIGHT(E1040,LEN(E1040)-FIND("@",SUBSTITUTE(E1040,"|","@",LEN(E1040)-LEN(SUBSTITUTE(E1040,"|",""))))))</f>
        <v>LintShavers</v>
      </c>
      <c r="E1040" t="s">
        <v>2011</v>
      </c>
      <c r="F1040">
        <v>319</v>
      </c>
      <c r="G1040">
        <v>749</v>
      </c>
      <c r="H1040" s="6">
        <v>57</v>
      </c>
      <c r="I1040">
        <v>4.5999999999999996</v>
      </c>
      <c r="J1040">
        <v>124</v>
      </c>
    </row>
    <row r="1041" spans="1:10">
      <c r="A1041" t="s">
        <v>2229</v>
      </c>
      <c r="B1041" t="s">
        <v>2230</v>
      </c>
      <c r="C1041" t="str">
        <f>LEFT(B1041,FIND(" ",B1041)-1)</f>
        <v>Pigeon</v>
      </c>
      <c r="D1041" t="str">
        <f>TRIM(RIGHT(E1041,LEN(E1041)-FIND("@",SUBSTITUTE(E1041,"|","@",LEN(E1041)-LEN(SUBSTITUTE(E1041,"|",""))))))</f>
        <v>ElectricKettles</v>
      </c>
      <c r="E1041" t="s">
        <v>2001</v>
      </c>
      <c r="F1041" s="1">
        <v>1499</v>
      </c>
      <c r="G1041" s="1">
        <v>1775</v>
      </c>
      <c r="H1041" s="6">
        <v>16</v>
      </c>
      <c r="I1041">
        <v>3.9</v>
      </c>
      <c r="J1041" s="1">
        <v>14667</v>
      </c>
    </row>
    <row r="1042" spans="1:10">
      <c r="A1042" t="s">
        <v>2231</v>
      </c>
      <c r="B1042" t="s">
        <v>2232</v>
      </c>
      <c r="C1042" t="str">
        <f>LEFT(B1042,FIND(" ",B1042)-1)</f>
        <v>C</v>
      </c>
      <c r="D1042" t="str">
        <f>TRIM(RIGHT(E1042,LEN(E1042)-FIND("@",SUBSTITUTE(E1042,"|","@",LEN(E1042)-LEN(SUBSTITUTE(E1042,"|",""))))))</f>
        <v>LintShavers</v>
      </c>
      <c r="E1042" t="s">
        <v>2011</v>
      </c>
      <c r="F1042">
        <v>469</v>
      </c>
      <c r="G1042" s="1">
        <v>1599</v>
      </c>
      <c r="H1042" s="6">
        <v>71</v>
      </c>
      <c r="I1042">
        <v>3.7</v>
      </c>
      <c r="J1042">
        <v>6</v>
      </c>
    </row>
    <row r="1043" spans="1:10">
      <c r="A1043" t="s">
        <v>2233</v>
      </c>
      <c r="B1043" t="s">
        <v>2234</v>
      </c>
      <c r="C1043" t="str">
        <f>LEFT(B1043,FIND(" ",B1043)-1)</f>
        <v>Pigeon</v>
      </c>
      <c r="D1043" t="str">
        <f>TRIM(RIGHT(E1043,LEN(E1043)-FIND("@",SUBSTITUTE(E1043,"|","@",LEN(E1043)-LEN(SUBSTITUTE(E1043,"|",""))))))</f>
        <v>Pop-upToasters</v>
      </c>
      <c r="E1043" t="s">
        <v>2210</v>
      </c>
      <c r="F1043" s="1">
        <v>1099</v>
      </c>
      <c r="G1043" s="1">
        <v>1795</v>
      </c>
      <c r="H1043" s="6">
        <v>39</v>
      </c>
      <c r="I1043">
        <v>4.2</v>
      </c>
      <c r="J1043" s="1">
        <v>4244</v>
      </c>
    </row>
    <row r="1044" spans="1:10">
      <c r="A1044" t="s">
        <v>2235</v>
      </c>
      <c r="B1044" t="s">
        <v>2236</v>
      </c>
      <c r="C1044" t="str">
        <f>LEFT(B1044,FIND(" ",B1044)-1)</f>
        <v>Bajaj</v>
      </c>
      <c r="D1044" t="str">
        <f>TRIM(RIGHT(E1044,LEN(E1044)-FIND("@",SUBSTITUTE(E1044,"|","@",LEN(E1044)-LEN(SUBSTITUTE(E1044,"|",""))))))</f>
        <v>FanHeaters</v>
      </c>
      <c r="E1044" t="s">
        <v>2008</v>
      </c>
      <c r="F1044" s="1">
        <v>9590</v>
      </c>
      <c r="G1044" s="1">
        <v>15999</v>
      </c>
      <c r="H1044" s="6">
        <v>4</v>
      </c>
      <c r="I1044">
        <v>4.0999999999999996</v>
      </c>
      <c r="J1044" s="1">
        <v>1017</v>
      </c>
    </row>
    <row r="1045" spans="1:10">
      <c r="A1045" t="s">
        <v>2237</v>
      </c>
      <c r="B1045" t="s">
        <v>2238</v>
      </c>
      <c r="C1045" t="str">
        <f>LEFT(B1045,FIND(" ",B1045)-1)</f>
        <v>Luminous</v>
      </c>
      <c r="D1045" t="str">
        <f>TRIM(RIGHT(E1045,LEN(E1045)-FIND("@",SUBSTITUTE(E1045,"|","@",LEN(E1045)-LEN(SUBSTITUTE(E1045,"|",""))))))</f>
        <v>ExhaustFans</v>
      </c>
      <c r="E1045" t="s">
        <v>2239</v>
      </c>
      <c r="F1045">
        <v>999</v>
      </c>
      <c r="G1045" s="1">
        <v>1490</v>
      </c>
      <c r="H1045" s="6">
        <v>33</v>
      </c>
      <c r="I1045">
        <v>4.0999999999999996</v>
      </c>
      <c r="J1045" s="1">
        <v>12999</v>
      </c>
    </row>
    <row r="1046" spans="1:10">
      <c r="A1046" t="s">
        <v>2240</v>
      </c>
      <c r="B1046" t="s">
        <v>2241</v>
      </c>
      <c r="C1046" t="str">
        <f>LEFT(B1046,FIND(" ",B1046)-1)</f>
        <v>Wipro</v>
      </c>
      <c r="D1046" t="str">
        <f>TRIM(RIGHT(E1046,LEN(E1046)-FIND("@",SUBSTITUTE(E1046,"|","@",LEN(E1046)-LEN(SUBSTITUTE(E1046,"|",""))))))</f>
        <v>Kettle&amp;ToasterSets</v>
      </c>
      <c r="E1046" t="s">
        <v>2057</v>
      </c>
      <c r="F1046" s="1">
        <v>1299</v>
      </c>
      <c r="G1046" s="1">
        <v>1999</v>
      </c>
      <c r="H1046" s="6">
        <v>35</v>
      </c>
      <c r="I1046">
        <v>3.8</v>
      </c>
      <c r="J1046">
        <v>311</v>
      </c>
    </row>
    <row r="1047" spans="1:10">
      <c r="A1047" t="s">
        <v>2242</v>
      </c>
      <c r="B1047" t="s">
        <v>2243</v>
      </c>
      <c r="C1047" t="str">
        <f>LEFT(B1047,FIND(" ",B1047)-1)</f>
        <v>Kitchen</v>
      </c>
      <c r="D1047" t="str">
        <f>TRIM(RIGHT(E1047,LEN(E1047)-FIND("@",SUBSTITUTE(E1047,"|","@",LEN(E1047)-LEN(SUBSTITUTE(E1047,"|",""))))))</f>
        <v>DripCoffeeMachines</v>
      </c>
      <c r="E1047" t="s">
        <v>2244</v>
      </c>
      <c r="F1047">
        <v>292</v>
      </c>
      <c r="G1047">
        <v>499</v>
      </c>
      <c r="H1047" s="6">
        <v>41</v>
      </c>
      <c r="I1047">
        <v>4.0999999999999996</v>
      </c>
      <c r="J1047" s="1">
        <v>4238</v>
      </c>
    </row>
    <row r="1048" spans="1:10">
      <c r="A1048" t="s">
        <v>2245</v>
      </c>
      <c r="B1048" t="s">
        <v>2246</v>
      </c>
      <c r="C1048" t="str">
        <f>LEFT(B1048,FIND(" ",B1048)-1)</f>
        <v>Ikea</v>
      </c>
      <c r="D1048" t="str">
        <f>TRIM(RIGHT(E1048,LEN(E1048)-FIND("@",SUBSTITUTE(E1048,"|","@",LEN(E1048)-LEN(SUBSTITUTE(E1048,"|",""))))))</f>
        <v>VacuumSealers</v>
      </c>
      <c r="E1048" t="s">
        <v>2171</v>
      </c>
      <c r="F1048">
        <v>160</v>
      </c>
      <c r="G1048">
        <v>299</v>
      </c>
      <c r="H1048" s="6">
        <v>46</v>
      </c>
      <c r="I1048">
        <v>4.5999999999999996</v>
      </c>
      <c r="J1048" s="1">
        <v>2781</v>
      </c>
    </row>
    <row r="1049" spans="1:10">
      <c r="A1049" t="s">
        <v>2247</v>
      </c>
      <c r="B1049" t="s">
        <v>2248</v>
      </c>
      <c r="C1049" t="str">
        <f>LEFT(B1049,FIND(" ",B1049)-1)</f>
        <v>HUL</v>
      </c>
      <c r="D1049" t="str">
        <f>TRIM(RIGHT(E1049,LEN(E1049)-FIND("@",SUBSTITUTE(E1049,"|","@",LEN(E1049)-LEN(SUBSTITUTE(E1049,"|",""))))))</f>
        <v>WaterPurifierAccessories</v>
      </c>
      <c r="E1049" t="s">
        <v>2249</v>
      </c>
      <c r="F1049">
        <v>600</v>
      </c>
      <c r="G1049">
        <v>600</v>
      </c>
      <c r="H1049" s="6">
        <v>0</v>
      </c>
      <c r="I1049">
        <v>4.0999999999999996</v>
      </c>
      <c r="J1049" s="1">
        <v>10907</v>
      </c>
    </row>
    <row r="1050" spans="1:10">
      <c r="A1050" t="s">
        <v>2250</v>
      </c>
      <c r="B1050" t="s">
        <v>2251</v>
      </c>
      <c r="C1050" t="str">
        <f>LEFT(B1050,FIND(" ",B1050)-1)</f>
        <v>HUL</v>
      </c>
      <c r="D1050" t="str">
        <f>TRIM(RIGHT(E1050,LEN(E1050)-FIND("@",SUBSTITUTE(E1050,"|","@",LEN(E1050)-LEN(SUBSTITUTE(E1050,"|",""))))))</f>
        <v>WaterCartridges</v>
      </c>
      <c r="E1050" t="s">
        <v>2252</v>
      </c>
      <c r="F1050" s="1">
        <v>1130</v>
      </c>
      <c r="G1050" s="1">
        <v>1130</v>
      </c>
      <c r="H1050" s="6">
        <v>0</v>
      </c>
      <c r="I1050">
        <v>4.2</v>
      </c>
      <c r="J1050" s="1">
        <v>13250</v>
      </c>
    </row>
    <row r="1051" spans="1:10">
      <c r="A1051" t="s">
        <v>2253</v>
      </c>
      <c r="B1051" t="s">
        <v>2254</v>
      </c>
      <c r="C1051" t="str">
        <f>LEFT(B1051,FIND(" ",B1051)-1)</f>
        <v>Prestige</v>
      </c>
      <c r="D1051" t="str">
        <f>TRIM(RIGHT(E1051,LEN(E1051)-FIND("@",SUBSTITUTE(E1051,"|","@",LEN(E1051)-LEN(SUBSTITUTE(E1051,"|",""))))))</f>
        <v>MixerGrinders</v>
      </c>
      <c r="E1051" t="s">
        <v>2044</v>
      </c>
      <c r="F1051" s="1">
        <v>3249</v>
      </c>
      <c r="G1051" s="1">
        <v>6295</v>
      </c>
      <c r="H1051" s="6">
        <v>48</v>
      </c>
      <c r="I1051">
        <v>3.9</v>
      </c>
      <c r="J1051" s="1">
        <v>43070</v>
      </c>
    </row>
    <row r="1052" spans="1:10">
      <c r="A1052" t="s">
        <v>2255</v>
      </c>
      <c r="B1052" t="s">
        <v>2256</v>
      </c>
      <c r="C1052" t="str">
        <f>LEFT(B1052,FIND(" ",B1052)-1)</f>
        <v>Preethi</v>
      </c>
      <c r="D1052" t="str">
        <f>TRIM(RIGHT(E1052,LEN(E1052)-FIND("@",SUBSTITUTE(E1052,"|","@",LEN(E1052)-LEN(SUBSTITUTE(E1052,"|",""))))))</f>
        <v>MixerGrinders</v>
      </c>
      <c r="E1052" t="s">
        <v>2044</v>
      </c>
      <c r="F1052" s="1">
        <v>3599</v>
      </c>
      <c r="G1052" s="1">
        <v>9455</v>
      </c>
      <c r="H1052" s="6">
        <v>62</v>
      </c>
      <c r="I1052">
        <v>4.0999999999999996</v>
      </c>
      <c r="J1052" s="1">
        <v>11828</v>
      </c>
    </row>
    <row r="1053" spans="1:10">
      <c r="A1053" t="s">
        <v>2257</v>
      </c>
      <c r="B1053" t="s">
        <v>2258</v>
      </c>
      <c r="C1053" t="str">
        <f>LEFT(B1053,FIND(" ",B1053)-1)</f>
        <v>Themisto</v>
      </c>
      <c r="D1053" t="str">
        <f>TRIM(RIGHT(E1053,LEN(E1053)-FIND("@",SUBSTITUTE(E1053,"|","@",LEN(E1053)-LEN(SUBSTITUTE(E1053,"|",""))))))</f>
        <v>EggBoilers</v>
      </c>
      <c r="E1053" t="s">
        <v>2117</v>
      </c>
      <c r="F1053">
        <v>368</v>
      </c>
      <c r="G1053">
        <v>699</v>
      </c>
      <c r="H1053" s="6">
        <v>47</v>
      </c>
      <c r="I1053">
        <v>4.0999999999999996</v>
      </c>
      <c r="J1053" s="1">
        <v>1240</v>
      </c>
    </row>
    <row r="1054" spans="1:10">
      <c r="A1054" t="s">
        <v>2259</v>
      </c>
      <c r="B1054" t="s">
        <v>2260</v>
      </c>
      <c r="C1054" t="str">
        <f>LEFT(B1054,FIND(" ",B1054)-1)</f>
        <v>Butterfly</v>
      </c>
      <c r="D1054" t="str">
        <f>TRIM(RIGHT(E1054,LEN(E1054)-FIND("@",SUBSTITUTE(E1054,"|","@",LEN(E1054)-LEN(SUBSTITUTE(E1054,"|",""))))))</f>
        <v>MixerGrinders</v>
      </c>
      <c r="E1054" t="s">
        <v>2044</v>
      </c>
      <c r="F1054" s="1">
        <v>3199</v>
      </c>
      <c r="G1054" s="1">
        <v>4999</v>
      </c>
      <c r="H1054" s="6">
        <v>36</v>
      </c>
      <c r="I1054">
        <v>4</v>
      </c>
      <c r="J1054" s="1">
        <v>20869</v>
      </c>
    </row>
    <row r="1055" spans="1:10">
      <c r="A1055" t="s">
        <v>2261</v>
      </c>
      <c r="B1055" t="s">
        <v>2262</v>
      </c>
      <c r="C1055" t="str">
        <f>LEFT(B1055,FIND(" ",B1055)-1)</f>
        <v>KENT</v>
      </c>
      <c r="D1055" t="str">
        <f>TRIM(RIGHT(E1055,LEN(E1055)-FIND("@",SUBSTITUTE(E1055,"|","@",LEN(E1055)-LEN(SUBSTITUTE(E1055,"|",""))))))</f>
        <v>Rice&amp;PastaCookers</v>
      </c>
      <c r="E1055" t="s">
        <v>2263</v>
      </c>
      <c r="F1055" s="1">
        <v>1599</v>
      </c>
      <c r="G1055" s="1">
        <v>2900</v>
      </c>
      <c r="H1055" s="6">
        <v>45</v>
      </c>
      <c r="I1055">
        <v>3.7</v>
      </c>
      <c r="J1055">
        <v>441</v>
      </c>
    </row>
    <row r="1056" spans="1:10">
      <c r="A1056" t="s">
        <v>2264</v>
      </c>
      <c r="B1056" t="s">
        <v>2265</v>
      </c>
      <c r="C1056" t="str">
        <f>LEFT(B1056,FIND(" ",B1056)-1)</f>
        <v>InstaCuppa</v>
      </c>
      <c r="D1056" t="str">
        <f>TRIM(RIGHT(E1056,LEN(E1056)-FIND("@",SUBSTITUTE(E1056,"|","@",LEN(E1056)-LEN(SUBSTITUTE(E1056,"|",""))))))</f>
        <v>HandBlenders</v>
      </c>
      <c r="E1056" t="s">
        <v>2038</v>
      </c>
      <c r="F1056" s="1">
        <v>1999</v>
      </c>
      <c r="G1056" s="1">
        <v>2499</v>
      </c>
      <c r="H1056" s="6">
        <v>2</v>
      </c>
      <c r="I1056">
        <v>4.0999999999999996</v>
      </c>
      <c r="J1056" s="1">
        <v>1034</v>
      </c>
    </row>
    <row r="1057" spans="1:10">
      <c r="A1057" t="s">
        <v>2266</v>
      </c>
      <c r="B1057" t="s">
        <v>2267</v>
      </c>
      <c r="C1057" t="str">
        <f>LEFT(B1057,FIND(" ",B1057)-1)</f>
        <v>USHA</v>
      </c>
      <c r="D1057" t="str">
        <f>TRIM(RIGHT(E1057,LEN(E1057)-FIND("@",SUBSTITUTE(E1057,"|","@",LEN(E1057)-LEN(SUBSTITUTE(E1057,"|",""))))))</f>
        <v>DryIrons</v>
      </c>
      <c r="E1057" t="s">
        <v>2041</v>
      </c>
      <c r="F1057">
        <v>616</v>
      </c>
      <c r="G1057" s="1">
        <v>1190</v>
      </c>
      <c r="H1057" s="6">
        <v>48</v>
      </c>
      <c r="I1057">
        <v>4.0999999999999996</v>
      </c>
      <c r="J1057" s="1">
        <v>37126</v>
      </c>
    </row>
    <row r="1058" spans="1:10">
      <c r="A1058" t="s">
        <v>2268</v>
      </c>
      <c r="B1058" t="s">
        <v>2269</v>
      </c>
      <c r="C1058" t="str">
        <f>LEFT(B1058,FIND(" ",B1058)-1)</f>
        <v>KENT</v>
      </c>
      <c r="D1058" t="str">
        <f>TRIM(RIGHT(E1058,LEN(E1058)-FIND("@",SUBSTITUTE(E1058,"|","@",LEN(E1058)-LEN(SUBSTITUTE(E1058,"|",""))))))</f>
        <v>HandBlenders</v>
      </c>
      <c r="E1058" t="s">
        <v>2038</v>
      </c>
      <c r="F1058" s="1">
        <v>1499</v>
      </c>
      <c r="G1058" s="1">
        <v>2100</v>
      </c>
      <c r="H1058" s="6">
        <v>29</v>
      </c>
      <c r="I1058">
        <v>4.0999999999999996</v>
      </c>
      <c r="J1058" s="1">
        <v>6355</v>
      </c>
    </row>
    <row r="1059" spans="1:10">
      <c r="A1059" t="s">
        <v>2270</v>
      </c>
      <c r="B1059" t="s">
        <v>2271</v>
      </c>
      <c r="C1059" t="str">
        <f>LEFT(B1059,FIND(" ",B1059)-1)</f>
        <v>White</v>
      </c>
      <c r="D1059" t="str">
        <f>TRIM(RIGHT(E1059,LEN(E1059)-FIND("@",SUBSTITUTE(E1059,"|","@",LEN(E1059)-LEN(SUBSTITUTE(E1059,"|",""))))))</f>
        <v>VacuumSealers</v>
      </c>
      <c r="E1059" t="s">
        <v>2171</v>
      </c>
      <c r="F1059">
        <v>199</v>
      </c>
      <c r="G1059">
        <v>499</v>
      </c>
      <c r="H1059" s="6">
        <v>6</v>
      </c>
      <c r="I1059">
        <v>3.3</v>
      </c>
      <c r="J1059">
        <v>12</v>
      </c>
    </row>
    <row r="1060" spans="1:10">
      <c r="A1060" t="s">
        <v>2272</v>
      </c>
      <c r="B1060" t="s">
        <v>2273</v>
      </c>
      <c r="C1060" t="str">
        <f>LEFT(B1060,FIND(" ",B1060)-1)</f>
        <v>Crompton</v>
      </c>
      <c r="D1060" t="str">
        <f>TRIM(RIGHT(E1060,LEN(E1060)-FIND("@",SUBSTITUTE(E1060,"|","@",LEN(E1060)-LEN(SUBSTITUTE(E1060,"|",""))))))</f>
        <v>ImmersionRods</v>
      </c>
      <c r="E1060" t="s">
        <v>2075</v>
      </c>
      <c r="F1060">
        <v>610</v>
      </c>
      <c r="G1060">
        <v>825</v>
      </c>
      <c r="H1060" s="6">
        <v>26</v>
      </c>
      <c r="I1060">
        <v>4.0999999999999996</v>
      </c>
      <c r="J1060" s="1">
        <v>13165</v>
      </c>
    </row>
    <row r="1061" spans="1:10">
      <c r="A1061" t="s">
        <v>2274</v>
      </c>
      <c r="B1061" t="s">
        <v>2275</v>
      </c>
      <c r="C1061" t="str">
        <f>LEFT(B1061,FIND(" ",B1061)-1)</f>
        <v>InstaCuppa</v>
      </c>
      <c r="D1061" t="str">
        <f>TRIM(RIGHT(E1061,LEN(E1061)-FIND("@",SUBSTITUTE(E1061,"|","@",LEN(E1061)-LEN(SUBSTITUTE(E1061,"|",""))))))</f>
        <v>MiniFoodProcessors&amp;Choppers</v>
      </c>
      <c r="E1061" t="s">
        <v>2151</v>
      </c>
      <c r="F1061">
        <v>999</v>
      </c>
      <c r="G1061" s="1">
        <v>1499</v>
      </c>
      <c r="H1061" s="6">
        <v>33</v>
      </c>
      <c r="I1061">
        <v>4.0999999999999996</v>
      </c>
      <c r="J1061" s="1">
        <v>1646</v>
      </c>
    </row>
    <row r="1062" spans="1:10">
      <c r="A1062" t="s">
        <v>2276</v>
      </c>
      <c r="B1062" t="s">
        <v>2277</v>
      </c>
      <c r="C1062" t="str">
        <f>LEFT(B1062,FIND(" ",B1062)-1)</f>
        <v>Philips</v>
      </c>
      <c r="D1062" t="str">
        <f>TRIM(RIGHT(E1062,LEN(E1062)-FIND("@",SUBSTITUTE(E1062,"|","@",LEN(E1062)-LEN(SUBSTITUTE(E1062,"|",""))))))</f>
        <v>CanisterVacuums</v>
      </c>
      <c r="E1062" t="s">
        <v>2181</v>
      </c>
      <c r="F1062" s="1">
        <v>8999</v>
      </c>
      <c r="G1062" s="1">
        <v>9995</v>
      </c>
      <c r="H1062" s="6">
        <v>1</v>
      </c>
      <c r="I1062">
        <v>4.4000000000000004</v>
      </c>
      <c r="J1062" s="1">
        <v>17994</v>
      </c>
    </row>
    <row r="1063" spans="1:10">
      <c r="A1063" t="s">
        <v>2278</v>
      </c>
      <c r="B1063" t="s">
        <v>2279</v>
      </c>
      <c r="C1063" t="str">
        <f>LEFT(B1063,FIND(" ",B1063)-1)</f>
        <v>SAIELLIN</v>
      </c>
      <c r="D1063" t="str">
        <f>TRIM(RIGHT(E1063,LEN(E1063)-FIND("@",SUBSTITUTE(E1063,"|","@",LEN(E1063)-LEN(SUBSTITUTE(E1063,"|",""))))))</f>
        <v>LintShavers</v>
      </c>
      <c r="E1063" t="s">
        <v>2011</v>
      </c>
      <c r="F1063">
        <v>453</v>
      </c>
      <c r="G1063">
        <v>999</v>
      </c>
      <c r="H1063" s="6">
        <v>55</v>
      </c>
      <c r="I1063">
        <v>4.3</v>
      </c>
      <c r="J1063">
        <v>610</v>
      </c>
    </row>
    <row r="1064" spans="1:10">
      <c r="A1064" t="s">
        <v>2280</v>
      </c>
      <c r="B1064" t="s">
        <v>2281</v>
      </c>
      <c r="C1064" t="str">
        <f>LEFT(B1064,FIND(" ",B1064)-1)</f>
        <v>Cookwell</v>
      </c>
      <c r="D1064" t="str">
        <f>TRIM(RIGHT(E1064,LEN(E1064)-FIND("@",SUBSTITUTE(E1064,"|","@",LEN(E1064)-LEN(SUBSTITUTE(E1064,"|",""))))))</f>
        <v>MixerGrinders</v>
      </c>
      <c r="E1064" t="s">
        <v>2044</v>
      </c>
      <c r="F1064" s="1">
        <v>2464</v>
      </c>
      <c r="G1064" s="1">
        <v>6000</v>
      </c>
      <c r="H1064" s="6">
        <v>59</v>
      </c>
      <c r="I1064">
        <v>4.0999999999999996</v>
      </c>
      <c r="J1064" s="1">
        <v>8866</v>
      </c>
    </row>
    <row r="1065" spans="1:10">
      <c r="A1065" t="s">
        <v>2282</v>
      </c>
      <c r="B1065" t="s">
        <v>2283</v>
      </c>
      <c r="C1065" t="str">
        <f>LEFT(B1065,FIND(" ",B1065)-1)</f>
        <v>Prestige</v>
      </c>
      <c r="D1065" t="str">
        <f>TRIM(RIGHT(E1065,LEN(E1065)-FIND("@",SUBSTITUTE(E1065,"|","@",LEN(E1065)-LEN(SUBSTITUTE(E1065,"|",""))))))</f>
        <v>Rice&amp;PastaCookers</v>
      </c>
      <c r="E1065" t="s">
        <v>2263</v>
      </c>
      <c r="F1065" s="1">
        <v>2719</v>
      </c>
      <c r="G1065" s="1">
        <v>3945</v>
      </c>
      <c r="H1065" s="6">
        <v>31</v>
      </c>
      <c r="I1065">
        <v>3.7</v>
      </c>
      <c r="J1065" s="1">
        <v>13406</v>
      </c>
    </row>
    <row r="1066" spans="1:10">
      <c r="A1066" t="s">
        <v>2284</v>
      </c>
      <c r="B1066" t="s">
        <v>2285</v>
      </c>
      <c r="C1066" t="str">
        <f>LEFT(B1066,FIND(" ",B1066)-1)</f>
        <v>Swiffer</v>
      </c>
      <c r="D1066" t="str">
        <f>TRIM(RIGHT(E1066,LEN(E1066)-FIND("@",SUBSTITUTE(E1066,"|","@",LEN(E1066)-LEN(SUBSTITUTE(E1066,"|",""))))))</f>
        <v>InstantWaterHeaters</v>
      </c>
      <c r="E1066" t="s">
        <v>2047</v>
      </c>
      <c r="F1066" s="1">
        <v>1439</v>
      </c>
      <c r="G1066" s="1">
        <v>1999</v>
      </c>
      <c r="H1066" s="6">
        <v>28</v>
      </c>
      <c r="I1066">
        <v>4.8</v>
      </c>
      <c r="J1066" s="1">
        <v>53803</v>
      </c>
    </row>
    <row r="1067" spans="1:10">
      <c r="A1067" t="s">
        <v>2286</v>
      </c>
      <c r="B1067" t="s">
        <v>2287</v>
      </c>
      <c r="C1067" t="str">
        <f>LEFT(B1067,FIND(" ",B1067)-1)</f>
        <v>InstaCuppa</v>
      </c>
      <c r="D1067" t="str">
        <f>TRIM(RIGHT(E1067,LEN(E1067)-FIND("@",SUBSTITUTE(E1067,"|","@",LEN(E1067)-LEN(SUBSTITUTE(E1067,"|",""))))))</f>
        <v>HandBlenders</v>
      </c>
      <c r="E1067" t="s">
        <v>2038</v>
      </c>
      <c r="F1067" s="1">
        <v>2799</v>
      </c>
      <c r="G1067" s="1">
        <v>3499</v>
      </c>
      <c r="H1067" s="6">
        <v>2</v>
      </c>
      <c r="I1067">
        <v>4.5</v>
      </c>
      <c r="J1067">
        <v>546</v>
      </c>
    </row>
    <row r="1068" spans="1:10">
      <c r="A1068" t="s">
        <v>2288</v>
      </c>
      <c r="B1068" t="s">
        <v>2289</v>
      </c>
      <c r="C1068" t="str">
        <f>LEFT(B1068,FIND(" ",B1068)-1)</f>
        <v>Lifelong</v>
      </c>
      <c r="D1068" t="str">
        <f>TRIM(RIGHT(E1068,LEN(E1068)-FIND("@",SUBSTITUTE(E1068,"|","@",LEN(E1068)-LEN(SUBSTITUTE(E1068,"|",""))))))</f>
        <v>InstantWaterHeaters</v>
      </c>
      <c r="E1068" t="s">
        <v>2047</v>
      </c>
      <c r="F1068" s="1">
        <v>2088</v>
      </c>
      <c r="G1068" s="1">
        <v>5550</v>
      </c>
      <c r="H1068" s="6">
        <v>62</v>
      </c>
      <c r="I1068">
        <v>4</v>
      </c>
      <c r="J1068" s="1">
        <v>5292</v>
      </c>
    </row>
    <row r="1069" spans="1:10">
      <c r="A1069" t="s">
        <v>2290</v>
      </c>
      <c r="B1069" t="s">
        <v>2291</v>
      </c>
      <c r="C1069" t="str">
        <f>LEFT(B1069,FIND(" ",B1069)-1)</f>
        <v>Hindware</v>
      </c>
      <c r="D1069" t="str">
        <f>TRIM(RIGHT(E1069,LEN(E1069)-FIND("@",SUBSTITUTE(E1069,"|","@",LEN(E1069)-LEN(SUBSTITUTE(E1069,"|",""))))))</f>
        <v>InstantWaterHeaters</v>
      </c>
      <c r="E1069" t="s">
        <v>2047</v>
      </c>
      <c r="F1069" s="1">
        <v>2399</v>
      </c>
      <c r="G1069" s="1">
        <v>4590</v>
      </c>
      <c r="H1069" s="6">
        <v>48</v>
      </c>
      <c r="I1069">
        <v>4.0999999999999996</v>
      </c>
      <c r="J1069">
        <v>444</v>
      </c>
    </row>
    <row r="1070" spans="1:10">
      <c r="A1070" t="s">
        <v>2292</v>
      </c>
      <c r="B1070" t="s">
        <v>2293</v>
      </c>
      <c r="C1070" t="str">
        <f>LEFT(B1070,FIND(" ",B1070)-1)</f>
        <v>ATOM</v>
      </c>
      <c r="D1070" t="str">
        <f>TRIM(RIGHT(E1070,LEN(E1070)-FIND("@",SUBSTITUTE(E1070,"|","@",LEN(E1070)-LEN(SUBSTITUTE(E1070,"|",""))))))</f>
        <v>DigitalKitchenScales</v>
      </c>
      <c r="E1070" t="s">
        <v>2014</v>
      </c>
      <c r="F1070">
        <v>308</v>
      </c>
      <c r="G1070">
        <v>499</v>
      </c>
      <c r="H1070" s="6">
        <v>38</v>
      </c>
      <c r="I1070">
        <v>3.9</v>
      </c>
      <c r="J1070" s="1">
        <v>4584</v>
      </c>
    </row>
    <row r="1071" spans="1:10">
      <c r="A1071" t="s">
        <v>2294</v>
      </c>
      <c r="B1071" t="s">
        <v>2295</v>
      </c>
      <c r="C1071" t="str">
        <f>LEFT(B1071,FIND(" ",B1071)-1)</f>
        <v>Crompton</v>
      </c>
      <c r="D1071" t="str">
        <f>TRIM(RIGHT(E1071,LEN(E1071)-FIND("@",SUBSTITUTE(E1071,"|","@",LEN(E1071)-LEN(SUBSTITUTE(E1071,"|",""))))))</f>
        <v>InstantWaterHeaters</v>
      </c>
      <c r="E1071" t="s">
        <v>2047</v>
      </c>
      <c r="F1071" s="1">
        <v>2599</v>
      </c>
      <c r="G1071" s="1">
        <v>4400</v>
      </c>
      <c r="H1071" s="6">
        <v>41</v>
      </c>
      <c r="I1071">
        <v>4.0999999999999996</v>
      </c>
      <c r="J1071" s="1">
        <v>14947</v>
      </c>
    </row>
    <row r="1072" spans="1:10">
      <c r="A1072" t="s">
        <v>2296</v>
      </c>
      <c r="B1072" t="s">
        <v>2297</v>
      </c>
      <c r="C1072" t="str">
        <f>LEFT(B1072,FIND(" ",B1072)-1)</f>
        <v>Croma</v>
      </c>
      <c r="D1072" t="str">
        <f>TRIM(RIGHT(E1072,LEN(E1072)-FIND("@",SUBSTITUTE(E1072,"|","@",LEN(E1072)-LEN(SUBSTITUTE(E1072,"|",""))))))</f>
        <v>DryIrons</v>
      </c>
      <c r="E1072" t="s">
        <v>2041</v>
      </c>
      <c r="F1072">
        <v>479</v>
      </c>
      <c r="G1072" s="1">
        <v>1000</v>
      </c>
      <c r="H1072" s="6">
        <v>52</v>
      </c>
      <c r="I1072">
        <v>4.2</v>
      </c>
      <c r="J1072" s="1">
        <v>1559</v>
      </c>
    </row>
    <row r="1073" spans="1:10">
      <c r="A1073" t="s">
        <v>2298</v>
      </c>
      <c r="B1073" t="s">
        <v>2299</v>
      </c>
      <c r="C1073" t="str">
        <f>LEFT(B1073,FIND(" ",B1073)-1)</f>
        <v>Lint</v>
      </c>
      <c r="D1073" t="str">
        <f>TRIM(RIGHT(E1073,LEN(E1073)-FIND("@",SUBSTITUTE(E1073,"|","@",LEN(E1073)-LEN(SUBSTITUTE(E1073,"|",""))))))</f>
        <v>LintShavers</v>
      </c>
      <c r="E1073" t="s">
        <v>2011</v>
      </c>
      <c r="F1073">
        <v>245</v>
      </c>
      <c r="G1073">
        <v>299</v>
      </c>
      <c r="H1073" s="6">
        <v>18</v>
      </c>
      <c r="I1073">
        <v>4.0999999999999996</v>
      </c>
      <c r="J1073" s="1">
        <v>1660</v>
      </c>
    </row>
    <row r="1074" spans="1:10">
      <c r="A1074" t="s">
        <v>2300</v>
      </c>
      <c r="B1074" t="s">
        <v>2301</v>
      </c>
      <c r="C1074" t="str">
        <f>LEFT(B1074,FIND(" ",B1074)-1)</f>
        <v>Portable</v>
      </c>
      <c r="D1074" t="str">
        <f>TRIM(RIGHT(E1074,LEN(E1074)-FIND("@",SUBSTITUTE(E1074,"|","@",LEN(E1074)-LEN(SUBSTITUTE(E1074,"|",""))))))</f>
        <v>LintShavers</v>
      </c>
      <c r="E1074" t="s">
        <v>2011</v>
      </c>
      <c r="F1074">
        <v>179</v>
      </c>
      <c r="G1074">
        <v>799</v>
      </c>
      <c r="H1074" s="6">
        <v>78</v>
      </c>
      <c r="I1074">
        <v>3.5</v>
      </c>
      <c r="J1074">
        <v>132</v>
      </c>
    </row>
    <row r="1075" spans="1:10">
      <c r="A1075" t="s">
        <v>2302</v>
      </c>
      <c r="B1075" t="s">
        <v>2303</v>
      </c>
      <c r="C1075" t="str">
        <f>LEFT(B1075,FIND(" ",B1075)-1)</f>
        <v>atomberg</v>
      </c>
      <c r="D1075" t="str">
        <f>TRIM(RIGHT(E1075,LEN(E1075)-FIND("@",SUBSTITUTE(E1075,"|","@",LEN(E1075)-LEN(SUBSTITUTE(E1075,"|",""))))))</f>
        <v>CeilingFans</v>
      </c>
      <c r="E1075" t="s">
        <v>2174</v>
      </c>
      <c r="F1075" s="1">
        <v>3569</v>
      </c>
      <c r="G1075" s="1">
        <v>5190</v>
      </c>
      <c r="H1075" s="6">
        <v>31</v>
      </c>
      <c r="I1075">
        <v>4.3</v>
      </c>
      <c r="J1075" s="1">
        <v>28629</v>
      </c>
    </row>
    <row r="1076" spans="1:10">
      <c r="A1076" t="s">
        <v>2304</v>
      </c>
      <c r="B1076" t="s">
        <v>2305</v>
      </c>
      <c r="C1076" t="str">
        <f>LEFT(B1076,FIND(" ",B1076)-1)</f>
        <v>Pigeon</v>
      </c>
      <c r="D1076" t="str">
        <f>TRIM(RIGHT(E1076,LEN(E1076)-FIND("@",SUBSTITUTE(E1076,"|","@",LEN(E1076)-LEN(SUBSTITUTE(E1076,"|",""))))))</f>
        <v>ElectricKettles</v>
      </c>
      <c r="E1076" t="s">
        <v>2001</v>
      </c>
      <c r="F1076">
        <v>699</v>
      </c>
      <c r="G1076" s="1">
        <v>1345</v>
      </c>
      <c r="H1076" s="6">
        <v>48</v>
      </c>
      <c r="I1076">
        <v>3.9</v>
      </c>
      <c r="J1076" s="1">
        <v>8446</v>
      </c>
    </row>
    <row r="1077" spans="1:10">
      <c r="A1077" t="s">
        <v>2306</v>
      </c>
      <c r="B1077" t="s">
        <v>2307</v>
      </c>
      <c r="C1077" t="str">
        <f>LEFT(B1077,FIND(" ",B1077)-1)</f>
        <v>Usha</v>
      </c>
      <c r="D1077" t="str">
        <f>TRIM(RIGHT(E1077,LEN(E1077)-FIND("@",SUBSTITUTE(E1077,"|","@",LEN(E1077)-LEN(SUBSTITUTE(E1077,"|",""))))))</f>
        <v>InductionCooktop</v>
      </c>
      <c r="E1077" t="s">
        <v>2029</v>
      </c>
      <c r="F1077" s="1">
        <v>2089</v>
      </c>
      <c r="G1077" s="1">
        <v>4000</v>
      </c>
      <c r="H1077" s="6">
        <v>48</v>
      </c>
      <c r="I1077">
        <v>4.2</v>
      </c>
      <c r="J1077" s="1">
        <v>11199</v>
      </c>
    </row>
    <row r="1078" spans="1:10">
      <c r="A1078" t="s">
        <v>2308</v>
      </c>
      <c r="B1078" t="s">
        <v>2309</v>
      </c>
      <c r="C1078" t="str">
        <f>LEFT(B1078,FIND(" ",B1078)-1)</f>
        <v>Reffair</v>
      </c>
      <c r="D1078" t="str">
        <f>TRIM(RIGHT(E1078,LEN(E1078)-FIND("@",SUBSTITUTE(E1078,"|","@",LEN(E1078)-LEN(SUBSTITUTE(E1078,"|",""))))))</f>
        <v>AirPurifiers&amp;Ionizers</v>
      </c>
      <c r="E1078" t="s">
        <v>2310</v>
      </c>
      <c r="F1078" s="1">
        <v>2339</v>
      </c>
      <c r="G1078" s="1">
        <v>4000</v>
      </c>
      <c r="H1078" s="6">
        <v>42</v>
      </c>
      <c r="I1078">
        <v>3.8</v>
      </c>
      <c r="J1078" s="1">
        <v>1118</v>
      </c>
    </row>
    <row r="1079" spans="1:10">
      <c r="A1079" t="s">
        <v>2311</v>
      </c>
      <c r="B1079" t="s">
        <v>2312</v>
      </c>
      <c r="C1079" t="str">
        <f>LEFT(B1079,FIND(" ",B1079)-1)</f>
        <v>!!1000</v>
      </c>
      <c r="D1079" t="str">
        <f>TRIM(RIGHT(E1079,LEN(E1079)-FIND("@",SUBSTITUTE(E1079,"|","@",LEN(E1079)-LEN(SUBSTITUTE(E1079,"|",""))))))</f>
        <v>FanHeaters</v>
      </c>
      <c r="E1079" t="s">
        <v>2008</v>
      </c>
      <c r="F1079">
        <v>784</v>
      </c>
      <c r="G1079" s="1">
        <v>1599</v>
      </c>
      <c r="H1079" s="6">
        <v>51</v>
      </c>
      <c r="I1079">
        <v>4.5</v>
      </c>
      <c r="J1079">
        <v>11</v>
      </c>
    </row>
    <row r="1080" spans="1:10">
      <c r="A1080" t="s">
        <v>2313</v>
      </c>
      <c r="B1080" t="s">
        <v>2314</v>
      </c>
      <c r="C1080" t="str">
        <f>LEFT(B1080,FIND(" ",B1080)-1)</f>
        <v>Eureka</v>
      </c>
      <c r="D1080" t="str">
        <f>TRIM(RIGHT(E1080,LEN(E1080)-FIND("@",SUBSTITUTE(E1080,"|","@",LEN(E1080)-LEN(SUBSTITUTE(E1080,"|",""))))))</f>
        <v>Wet-DryVacuums</v>
      </c>
      <c r="E1080" t="s">
        <v>2315</v>
      </c>
      <c r="F1080" s="1">
        <v>5499</v>
      </c>
      <c r="G1080" s="1">
        <v>9999</v>
      </c>
      <c r="H1080" s="6">
        <v>45</v>
      </c>
      <c r="I1080">
        <v>3.8</v>
      </c>
      <c r="J1080" s="1">
        <v>4353</v>
      </c>
    </row>
    <row r="1081" spans="1:10">
      <c r="A1081" t="s">
        <v>2316</v>
      </c>
      <c r="B1081" t="s">
        <v>2317</v>
      </c>
      <c r="C1081" t="str">
        <f>LEFT(B1081,FIND(" ",B1081)-1)</f>
        <v>Activa</v>
      </c>
      <c r="D1081" t="str">
        <f>TRIM(RIGHT(E1081,LEN(E1081)-FIND("@",SUBSTITUTE(E1081,"|","@",LEN(E1081)-LEN(SUBSTITUTE(E1081,"|",""))))))</f>
        <v>FanHeaters</v>
      </c>
      <c r="E1081" t="s">
        <v>2008</v>
      </c>
      <c r="F1081">
        <v>899</v>
      </c>
      <c r="G1081" s="1">
        <v>1990</v>
      </c>
      <c r="H1081" s="6">
        <v>55</v>
      </c>
      <c r="I1081">
        <v>4.0999999999999996</v>
      </c>
      <c r="J1081">
        <v>185</v>
      </c>
    </row>
    <row r="1082" spans="1:10">
      <c r="A1082" t="s">
        <v>2318</v>
      </c>
      <c r="B1082" t="s">
        <v>2319</v>
      </c>
      <c r="C1082" t="str">
        <f>LEFT(B1082,FIND(" ",B1082)-1)</f>
        <v>PHILIPS</v>
      </c>
      <c r="D1082" t="str">
        <f>TRIM(RIGHT(E1082,LEN(E1082)-FIND("@",SUBSTITUTE(E1082,"|","@",LEN(E1082)-LEN(SUBSTITUTE(E1082,"|",""))))))</f>
        <v>HandBlenders</v>
      </c>
      <c r="E1082" t="s">
        <v>2038</v>
      </c>
      <c r="F1082" s="1">
        <v>1695</v>
      </c>
      <c r="G1082" s="1">
        <v>1695</v>
      </c>
      <c r="H1082" s="6">
        <v>0</v>
      </c>
      <c r="I1082">
        <v>4.2</v>
      </c>
      <c r="J1082" s="1">
        <v>14290</v>
      </c>
    </row>
    <row r="1083" spans="1:10">
      <c r="A1083" t="s">
        <v>2320</v>
      </c>
      <c r="B1083" t="s">
        <v>2321</v>
      </c>
      <c r="C1083" t="str">
        <f>LEFT(B1083,FIND(" ",B1083)-1)</f>
        <v>Bajaj</v>
      </c>
      <c r="D1083" t="str">
        <f>TRIM(RIGHT(E1083,LEN(E1083)-FIND("@",SUBSTITUTE(E1083,"|","@",LEN(E1083)-LEN(SUBSTITUTE(E1083,"|",""))))))</f>
        <v>DryIrons</v>
      </c>
      <c r="E1083" t="s">
        <v>2041</v>
      </c>
      <c r="F1083">
        <v>499</v>
      </c>
      <c r="G1083">
        <v>940</v>
      </c>
      <c r="H1083" s="6">
        <v>47</v>
      </c>
      <c r="I1083">
        <v>4.0999999999999996</v>
      </c>
      <c r="J1083" s="1">
        <v>3036</v>
      </c>
    </row>
    <row r="1084" spans="1:10">
      <c r="A1084" t="s">
        <v>2322</v>
      </c>
      <c r="B1084" t="s">
        <v>2323</v>
      </c>
      <c r="C1084" t="str">
        <f>LEFT(B1084,FIND(" ",B1084)-1)</f>
        <v>V-Guard</v>
      </c>
      <c r="D1084" t="str">
        <f>TRIM(RIGHT(E1084,LEN(E1084)-FIND("@",SUBSTITUTE(E1084,"|","@",LEN(E1084)-LEN(SUBSTITUTE(E1084,"|",""))))))</f>
        <v>InstantWaterHeaters</v>
      </c>
      <c r="E1084" t="s">
        <v>2047</v>
      </c>
      <c r="F1084" s="1">
        <v>2699</v>
      </c>
      <c r="G1084" s="1">
        <v>4700</v>
      </c>
      <c r="H1084" s="6">
        <v>43</v>
      </c>
      <c r="I1084">
        <v>4.2</v>
      </c>
      <c r="J1084" s="1">
        <v>1296</v>
      </c>
    </row>
    <row r="1085" spans="1:10">
      <c r="A1085" t="s">
        <v>2324</v>
      </c>
      <c r="B1085" t="s">
        <v>2325</v>
      </c>
      <c r="C1085" t="str">
        <f>LEFT(B1085,FIND(" ",B1085)-1)</f>
        <v>Homeistic</v>
      </c>
      <c r="D1085" t="str">
        <f>TRIM(RIGHT(E1085,LEN(E1085)-FIND("@",SUBSTITUTE(E1085,"|","@",LEN(E1085)-LEN(SUBSTITUTE(E1085,"|",""))))))</f>
        <v>InstantWaterHeaters</v>
      </c>
      <c r="E1085" t="s">
        <v>2047</v>
      </c>
      <c r="F1085" s="1">
        <v>1448</v>
      </c>
      <c r="G1085" s="1">
        <v>2999</v>
      </c>
      <c r="H1085" s="6">
        <v>52</v>
      </c>
      <c r="I1085">
        <v>4.5</v>
      </c>
      <c r="J1085">
        <v>19</v>
      </c>
    </row>
    <row r="1086" spans="1:10">
      <c r="A1086" t="s">
        <v>2326</v>
      </c>
      <c r="B1086" t="s">
        <v>2327</v>
      </c>
      <c r="C1086" t="str">
        <f>LEFT(B1086,FIND(" ",B1086)-1)</f>
        <v>Kitchenwell</v>
      </c>
      <c r="D1086" t="str">
        <f>TRIM(RIGHT(E1086,LEN(E1086)-FIND("@",SUBSTITUTE(E1086,"|","@",LEN(E1086)-LEN(SUBSTITUTE(E1086,"|",""))))))</f>
        <v>VacuumSealers</v>
      </c>
      <c r="E1086" t="s">
        <v>2171</v>
      </c>
      <c r="F1086">
        <v>79</v>
      </c>
      <c r="G1086">
        <v>79</v>
      </c>
      <c r="H1086" s="6">
        <v>0</v>
      </c>
      <c r="I1086">
        <v>4</v>
      </c>
      <c r="J1086">
        <v>97</v>
      </c>
    </row>
    <row r="1087" spans="1:10">
      <c r="A1087" t="s">
        <v>2328</v>
      </c>
      <c r="B1087" t="s">
        <v>2329</v>
      </c>
      <c r="C1087" t="str">
        <f>LEFT(B1087,FIND(" ",B1087)-1)</f>
        <v>Havells</v>
      </c>
      <c r="D1087" t="str">
        <f>TRIM(RIGHT(E1087,LEN(E1087)-FIND("@",SUBSTITUTE(E1087,"|","@",LEN(E1087)-LEN(SUBSTITUTE(E1087,"|",""))))))</f>
        <v>StorageWaterHeaters</v>
      </c>
      <c r="E1087" t="s">
        <v>2060</v>
      </c>
      <c r="F1087" s="1">
        <v>6990</v>
      </c>
      <c r="G1087" s="1">
        <v>14290</v>
      </c>
      <c r="H1087" s="6">
        <v>51</v>
      </c>
      <c r="I1087">
        <v>4.4000000000000004</v>
      </c>
      <c r="J1087" s="1">
        <v>1771</v>
      </c>
    </row>
    <row r="1088" spans="1:10">
      <c r="A1088" t="s">
        <v>2330</v>
      </c>
      <c r="B1088" t="s">
        <v>2331</v>
      </c>
      <c r="C1088" t="str">
        <f>LEFT(B1088,FIND(" ",B1088)-1)</f>
        <v>Prestige</v>
      </c>
      <c r="D1088" t="str">
        <f>TRIM(RIGHT(E1088,LEN(E1088)-FIND("@",SUBSTITUTE(E1088,"|","@",LEN(E1088)-LEN(SUBSTITUTE(E1088,"|",""))))))</f>
        <v>InductionCooktop</v>
      </c>
      <c r="E1088" t="s">
        <v>2029</v>
      </c>
      <c r="F1088" s="1">
        <v>2698</v>
      </c>
      <c r="G1088" s="1">
        <v>3945</v>
      </c>
      <c r="H1088" s="6">
        <v>32</v>
      </c>
      <c r="I1088">
        <v>4</v>
      </c>
      <c r="J1088" s="1">
        <v>15034</v>
      </c>
    </row>
    <row r="1089" spans="1:10">
      <c r="A1089" t="s">
        <v>2332</v>
      </c>
      <c r="B1089" t="s">
        <v>2333</v>
      </c>
      <c r="C1089" t="str">
        <f>LEFT(B1089,FIND(" ",B1089)-1)</f>
        <v>AGARO</v>
      </c>
      <c r="D1089" t="str">
        <f>TRIM(RIGHT(E1089,LEN(E1089)-FIND("@",SUBSTITUTE(E1089,"|","@",LEN(E1089)-LEN(SUBSTITUTE(E1089,"|",""))))))</f>
        <v>Wet-DryVacuums</v>
      </c>
      <c r="E1089" t="s">
        <v>2315</v>
      </c>
      <c r="F1089" s="1">
        <v>3199</v>
      </c>
      <c r="G1089" s="1">
        <v>5999</v>
      </c>
      <c r="H1089" s="6">
        <v>47</v>
      </c>
      <c r="I1089">
        <v>4</v>
      </c>
      <c r="J1089" s="1">
        <v>3242</v>
      </c>
    </row>
    <row r="1090" spans="1:10">
      <c r="A1090" t="s">
        <v>2334</v>
      </c>
      <c r="B1090" t="s">
        <v>2335</v>
      </c>
      <c r="C1090" t="str">
        <f>LEFT(B1090,FIND(" ",B1090)-1)</f>
        <v>KENT</v>
      </c>
      <c r="D1090" t="str">
        <f>TRIM(RIGHT(E1090,LEN(E1090)-FIND("@",SUBSTITUTE(E1090,"|","@",LEN(E1090)-LEN(SUBSTITUTE(E1090,"|",""))))))</f>
        <v>Kettle&amp;ToasterSets</v>
      </c>
      <c r="E1090" t="s">
        <v>2057</v>
      </c>
      <c r="F1090" s="1">
        <v>1199</v>
      </c>
      <c r="G1090" s="1">
        <v>1950</v>
      </c>
      <c r="H1090" s="6">
        <v>39</v>
      </c>
      <c r="I1090">
        <v>3.9</v>
      </c>
      <c r="J1090" s="1">
        <v>2832</v>
      </c>
    </row>
    <row r="1091" spans="1:10">
      <c r="A1091" t="s">
        <v>2336</v>
      </c>
      <c r="B1091" t="s">
        <v>2337</v>
      </c>
      <c r="C1091" t="str">
        <f>LEFT(B1091,FIND(" ",B1091)-1)</f>
        <v>SKYTONE</v>
      </c>
      <c r="D1091" t="str">
        <f>TRIM(RIGHT(E1091,LEN(E1091)-FIND("@",SUBSTITUTE(E1091,"|","@",LEN(E1091)-LEN(SUBSTITUTE(E1091,"|",""))))))</f>
        <v>MiniFoodProcessors&amp;Choppers</v>
      </c>
      <c r="E1091" t="s">
        <v>2151</v>
      </c>
      <c r="F1091" s="1">
        <v>1414</v>
      </c>
      <c r="G1091" s="1">
        <v>2799</v>
      </c>
      <c r="H1091" s="6">
        <v>49</v>
      </c>
      <c r="I1091">
        <v>4</v>
      </c>
      <c r="J1091" s="1">
        <v>1498</v>
      </c>
    </row>
    <row r="1092" spans="1:10">
      <c r="A1092" t="s">
        <v>2338</v>
      </c>
      <c r="B1092" t="s">
        <v>2339</v>
      </c>
      <c r="C1092" t="str">
        <f>LEFT(B1092,FIND(" ",B1092)-1)</f>
        <v>KENT</v>
      </c>
      <c r="D1092" t="str">
        <f>TRIM(RIGHT(E1092,LEN(E1092)-FIND("@",SUBSTITUTE(E1092,"|","@",LEN(E1092)-LEN(SUBSTITUTE(E1092,"|",""))))))</f>
        <v>ElectricKettles</v>
      </c>
      <c r="E1092" t="s">
        <v>2001</v>
      </c>
      <c r="F1092">
        <v>999</v>
      </c>
      <c r="G1092" s="1">
        <v>1950</v>
      </c>
      <c r="H1092" s="6">
        <v>49</v>
      </c>
      <c r="I1092">
        <v>3.8</v>
      </c>
      <c r="J1092">
        <v>305</v>
      </c>
    </row>
    <row r="1093" spans="1:10">
      <c r="A1093" t="s">
        <v>2340</v>
      </c>
      <c r="B1093" t="s">
        <v>2341</v>
      </c>
      <c r="C1093" t="str">
        <f>LEFT(B1093,FIND(" ",B1093)-1)</f>
        <v>Eureka</v>
      </c>
      <c r="D1093" t="str">
        <f>TRIM(RIGHT(E1093,LEN(E1093)-FIND("@",SUBSTITUTE(E1093,"|","@",LEN(E1093)-LEN(SUBSTITUTE(E1093,"|",""))))))</f>
        <v>CanisterVacuums</v>
      </c>
      <c r="E1093" t="s">
        <v>2181</v>
      </c>
      <c r="F1093" s="1">
        <v>5999</v>
      </c>
      <c r="G1093" s="1">
        <v>9999</v>
      </c>
      <c r="H1093" s="6">
        <v>4</v>
      </c>
      <c r="I1093">
        <v>4.2</v>
      </c>
      <c r="J1093" s="1">
        <v>1191</v>
      </c>
    </row>
    <row r="1094" spans="1:10">
      <c r="A1094" t="s">
        <v>2342</v>
      </c>
      <c r="B1094" t="s">
        <v>2343</v>
      </c>
      <c r="C1094" t="str">
        <f>LEFT(B1094,FIND(" ",B1094)-1)</f>
        <v>Mi</v>
      </c>
      <c r="D1094" t="str">
        <f>TRIM(RIGHT(E1094,LEN(E1094)-FIND("@",SUBSTITUTE(E1094,"|","@",LEN(E1094)-LEN(SUBSTITUTE(E1094,"|",""))))))</f>
        <v>HEPAAirPurifiers</v>
      </c>
      <c r="E1094" t="s">
        <v>2344</v>
      </c>
      <c r="F1094" s="1">
        <v>9970</v>
      </c>
      <c r="G1094" s="1">
        <v>12999</v>
      </c>
      <c r="H1094" s="6">
        <v>23</v>
      </c>
      <c r="I1094">
        <v>4.3</v>
      </c>
      <c r="J1094" s="1">
        <v>4049</v>
      </c>
    </row>
    <row r="1095" spans="1:10">
      <c r="A1095" t="s">
        <v>2345</v>
      </c>
      <c r="B1095" t="s">
        <v>2346</v>
      </c>
      <c r="C1095" t="str">
        <f>LEFT(B1095,FIND(" ",B1095)-1)</f>
        <v>Tata</v>
      </c>
      <c r="D1095" t="str">
        <f>TRIM(RIGHT(E1095,LEN(E1095)-FIND("@",SUBSTITUTE(E1095,"|","@",LEN(E1095)-LEN(SUBSTITUTE(E1095,"|",""))))))</f>
        <v>WaterFilters&amp;Purifiers</v>
      </c>
      <c r="E1095" t="s">
        <v>2347</v>
      </c>
      <c r="F1095">
        <v>698</v>
      </c>
      <c r="G1095">
        <v>699</v>
      </c>
      <c r="H1095" s="6">
        <v>0</v>
      </c>
      <c r="I1095">
        <v>4.2</v>
      </c>
      <c r="J1095" s="1">
        <v>3160</v>
      </c>
    </row>
    <row r="1096" spans="1:10">
      <c r="A1096" t="s">
        <v>2348</v>
      </c>
      <c r="B1096" t="s">
        <v>2349</v>
      </c>
      <c r="C1096" t="str">
        <f>LEFT(B1096,FIND(" ",B1096)-1)</f>
        <v>Havells</v>
      </c>
      <c r="D1096" t="str">
        <f>TRIM(RIGHT(E1096,LEN(E1096)-FIND("@",SUBSTITUTE(E1096,"|","@",LEN(E1096)-LEN(SUBSTITUTE(E1096,"|",""))))))</f>
        <v>CeilingFans</v>
      </c>
      <c r="E1096" t="s">
        <v>2174</v>
      </c>
      <c r="F1096" s="1">
        <v>2199</v>
      </c>
      <c r="G1096" s="1">
        <v>3190</v>
      </c>
      <c r="H1096" s="6">
        <v>31</v>
      </c>
      <c r="I1096">
        <v>4.3</v>
      </c>
      <c r="J1096" s="1">
        <v>9650</v>
      </c>
    </row>
    <row r="1097" spans="1:10">
      <c r="A1097" t="s">
        <v>2350</v>
      </c>
      <c r="B1097" t="s">
        <v>2351</v>
      </c>
      <c r="C1097" t="str">
        <f>LEFT(B1097,FIND(" ",B1097)-1)</f>
        <v>PrettyKrafts</v>
      </c>
      <c r="D1097" t="str">
        <f>TRIM(RIGHT(E1097,LEN(E1097)-FIND("@",SUBSTITUTE(E1097,"|","@",LEN(E1097)-LEN(SUBSTITUTE(E1097,"|",""))))))</f>
        <v>LaundryBags</v>
      </c>
      <c r="E1097" t="s">
        <v>2352</v>
      </c>
      <c r="F1097">
        <v>320</v>
      </c>
      <c r="G1097">
        <v>799</v>
      </c>
      <c r="H1097" s="6">
        <v>6</v>
      </c>
      <c r="I1097">
        <v>4.2</v>
      </c>
      <c r="J1097" s="1">
        <v>3846</v>
      </c>
    </row>
    <row r="1098" spans="1:10">
      <c r="A1098" t="s">
        <v>2353</v>
      </c>
      <c r="B1098" t="s">
        <v>2354</v>
      </c>
      <c r="C1098" t="str">
        <f>LEFT(B1098,FIND(" ",B1098)-1)</f>
        <v>FABWARE</v>
      </c>
      <c r="D1098" t="str">
        <f>TRIM(RIGHT(E1098,LEN(E1098)-FIND("@",SUBSTITUTE(E1098,"|","@",LEN(E1098)-LEN(SUBSTITUTE(E1098,"|",""))))))</f>
        <v>LintShavers</v>
      </c>
      <c r="E1098" t="s">
        <v>2011</v>
      </c>
      <c r="F1098">
        <v>298</v>
      </c>
      <c r="G1098">
        <v>499</v>
      </c>
      <c r="H1098" s="6">
        <v>4</v>
      </c>
      <c r="I1098">
        <v>4.4000000000000004</v>
      </c>
      <c r="J1098">
        <v>290</v>
      </c>
    </row>
    <row r="1099" spans="1:10">
      <c r="A1099" t="s">
        <v>2355</v>
      </c>
      <c r="B1099" t="s">
        <v>2356</v>
      </c>
      <c r="C1099" t="str">
        <f>LEFT(B1099,FIND(" ",B1099)-1)</f>
        <v>Brayden</v>
      </c>
      <c r="D1099" t="str">
        <f>TRIM(RIGHT(E1099,LEN(E1099)-FIND("@",SUBSTITUTE(E1099,"|","@",LEN(E1099)-LEN(SUBSTITUTE(E1099,"|",""))))))</f>
        <v>JuicerMixerGrinders</v>
      </c>
      <c r="E1099" t="s">
        <v>2097</v>
      </c>
      <c r="F1099" s="1">
        <v>1199</v>
      </c>
      <c r="G1099" s="1">
        <v>1499</v>
      </c>
      <c r="H1099" s="6">
        <v>2</v>
      </c>
      <c r="I1099">
        <v>3.8</v>
      </c>
      <c r="J1099" s="1">
        <v>2206</v>
      </c>
    </row>
    <row r="1100" spans="1:10">
      <c r="A1100" t="s">
        <v>2357</v>
      </c>
      <c r="B1100" t="s">
        <v>2358</v>
      </c>
      <c r="C1100" t="str">
        <f>LEFT(B1100,FIND(" ",B1100)-1)</f>
        <v>Bajaj</v>
      </c>
      <c r="D1100" t="str">
        <f>TRIM(RIGHT(E1100,LEN(E1100)-FIND("@",SUBSTITUTE(E1100,"|","@",LEN(E1100)-LEN(SUBSTITUTE(E1100,"|",""))))))</f>
        <v>CeilingFans</v>
      </c>
      <c r="E1100" t="s">
        <v>2174</v>
      </c>
      <c r="F1100" s="1">
        <v>1399</v>
      </c>
      <c r="G1100" s="1">
        <v>2660</v>
      </c>
      <c r="H1100" s="6">
        <v>47</v>
      </c>
      <c r="I1100">
        <v>4.0999999999999996</v>
      </c>
      <c r="J1100" s="1">
        <v>9349</v>
      </c>
    </row>
    <row r="1101" spans="1:10">
      <c r="A1101" t="s">
        <v>2359</v>
      </c>
      <c r="B1101" t="s">
        <v>2360</v>
      </c>
      <c r="C1101" t="str">
        <f>LEFT(B1101,FIND(" ",B1101)-1)</f>
        <v>Venus</v>
      </c>
      <c r="D1101" t="str">
        <f>TRIM(RIGHT(E1101,LEN(E1101)-FIND("@",SUBSTITUTE(E1101,"|","@",LEN(E1101)-LEN(SUBSTITUTE(E1101,"|",""))))))</f>
        <v>DigitalKitchenScales</v>
      </c>
      <c r="E1101" t="s">
        <v>2014</v>
      </c>
      <c r="F1101">
        <v>599</v>
      </c>
      <c r="G1101" s="1">
        <v>2799</v>
      </c>
      <c r="H1101" s="6">
        <v>79</v>
      </c>
      <c r="I1101">
        <v>3.9</v>
      </c>
      <c r="J1101">
        <v>578</v>
      </c>
    </row>
    <row r="1102" spans="1:10">
      <c r="A1102" t="s">
        <v>2361</v>
      </c>
      <c r="B1102" t="s">
        <v>2362</v>
      </c>
      <c r="C1102" t="str">
        <f>LEFT(B1102,FIND(" ",B1102)-1)</f>
        <v>Bajaj</v>
      </c>
      <c r="D1102" t="str">
        <f>TRIM(RIGHT(E1102,LEN(E1102)-FIND("@",SUBSTITUTE(E1102,"|","@",LEN(E1102)-LEN(SUBSTITUTE(E1102,"|",""))))))</f>
        <v>Pop-upToasters</v>
      </c>
      <c r="E1102" t="s">
        <v>2210</v>
      </c>
      <c r="F1102" s="1">
        <v>1499</v>
      </c>
      <c r="G1102" s="1">
        <v>1499</v>
      </c>
      <c r="H1102" s="6">
        <v>0</v>
      </c>
      <c r="I1102">
        <v>4.3</v>
      </c>
      <c r="J1102" s="1">
        <v>9331</v>
      </c>
    </row>
    <row r="1103" spans="1:10">
      <c r="A1103" t="s">
        <v>2363</v>
      </c>
      <c r="B1103" t="s">
        <v>2364</v>
      </c>
      <c r="C1103" t="str">
        <f>LEFT(B1103,FIND(" ",B1103)-1)</f>
        <v>Coway</v>
      </c>
      <c r="D1103" t="str">
        <f>TRIM(RIGHT(E1103,LEN(E1103)-FIND("@",SUBSTITUTE(E1103,"|","@",LEN(E1103)-LEN(SUBSTITUTE(E1103,"|",""))))))</f>
        <v>HEPAAirPurifiers</v>
      </c>
      <c r="E1103" t="s">
        <v>2344</v>
      </c>
      <c r="F1103" s="1">
        <v>14400</v>
      </c>
      <c r="G1103" s="1">
        <v>59900</v>
      </c>
      <c r="H1103" s="6">
        <v>76</v>
      </c>
      <c r="I1103">
        <v>4.4000000000000004</v>
      </c>
      <c r="J1103" s="1">
        <v>3837</v>
      </c>
    </row>
    <row r="1104" spans="1:10">
      <c r="A1104" t="s">
        <v>2365</v>
      </c>
      <c r="B1104" t="s">
        <v>2366</v>
      </c>
      <c r="C1104" t="str">
        <f>LEFT(B1104,FIND(" ",B1104)-1)</f>
        <v>KENT</v>
      </c>
      <c r="D1104" t="str">
        <f>TRIM(RIGHT(E1104,LEN(E1104)-FIND("@",SUBSTITUTE(E1104,"|","@",LEN(E1104)-LEN(SUBSTITUTE(E1104,"|",""))))))</f>
        <v>WaterFilters&amp;Purifiers</v>
      </c>
      <c r="E1104" t="s">
        <v>2347</v>
      </c>
      <c r="F1104" s="1">
        <v>1699</v>
      </c>
      <c r="G1104" s="1">
        <v>1900</v>
      </c>
      <c r="H1104" s="6">
        <v>11</v>
      </c>
      <c r="I1104">
        <v>3.6</v>
      </c>
      <c r="J1104" s="1">
        <v>11456</v>
      </c>
    </row>
    <row r="1105" spans="1:10">
      <c r="A1105" t="s">
        <v>2367</v>
      </c>
      <c r="B1105" t="s">
        <v>2368</v>
      </c>
      <c r="C1105" t="str">
        <f>LEFT(B1105,FIND(" ",B1105)-1)</f>
        <v>HOMEPACK</v>
      </c>
      <c r="D1105" t="str">
        <f>TRIM(RIGHT(E1105,LEN(E1105)-FIND("@",SUBSTITUTE(E1105,"|","@",LEN(E1105)-LEN(SUBSTITUTE(E1105,"|",""))))))</f>
        <v>ElectricHeaters</v>
      </c>
      <c r="E1105" t="s">
        <v>2005</v>
      </c>
      <c r="F1105">
        <v>649</v>
      </c>
      <c r="G1105">
        <v>999</v>
      </c>
      <c r="H1105" s="6">
        <v>35</v>
      </c>
      <c r="I1105">
        <v>3.8</v>
      </c>
      <c r="J1105">
        <v>49</v>
      </c>
    </row>
    <row r="1106" spans="1:10">
      <c r="A1106" t="s">
        <v>2369</v>
      </c>
      <c r="B1106" t="s">
        <v>2370</v>
      </c>
      <c r="C1106" t="str">
        <f>LEFT(B1106,FIND(" ",B1106)-1)</f>
        <v>Bajaj</v>
      </c>
      <c r="D1106" t="str">
        <f>TRIM(RIGHT(E1106,LEN(E1106)-FIND("@",SUBSTITUTE(E1106,"|","@",LEN(E1106)-LEN(SUBSTITUTE(E1106,"|",""))))))</f>
        <v>MixerGrinders</v>
      </c>
      <c r="E1106" t="s">
        <v>2044</v>
      </c>
      <c r="F1106" s="1">
        <v>3249</v>
      </c>
      <c r="G1106" s="1">
        <v>6375</v>
      </c>
      <c r="H1106" s="6">
        <v>49</v>
      </c>
      <c r="I1106">
        <v>4</v>
      </c>
      <c r="J1106" s="1">
        <v>4978</v>
      </c>
    </row>
    <row r="1107" spans="1:10">
      <c r="A1107" t="s">
        <v>2371</v>
      </c>
      <c r="B1107" t="s">
        <v>2372</v>
      </c>
      <c r="C1107" t="str">
        <f>LEFT(B1107,FIND(" ",B1107)-1)</f>
        <v>Heart</v>
      </c>
      <c r="D1107" t="str">
        <f>TRIM(RIGHT(E1107,LEN(E1107)-FIND("@",SUBSTITUTE(E1107,"|","@",LEN(E1107)-LEN(SUBSTITUTE(E1107,"|",""))))))</f>
        <v>LaundryBaskets</v>
      </c>
      <c r="E1107" t="s">
        <v>2085</v>
      </c>
      <c r="F1107">
        <v>199</v>
      </c>
      <c r="G1107">
        <v>499</v>
      </c>
      <c r="H1107" s="6">
        <v>6</v>
      </c>
      <c r="I1107">
        <v>4.0999999999999996</v>
      </c>
      <c r="J1107" s="1">
        <v>1996</v>
      </c>
    </row>
    <row r="1108" spans="1:10">
      <c r="A1108" t="s">
        <v>2373</v>
      </c>
      <c r="B1108" t="s">
        <v>2374</v>
      </c>
      <c r="C1108" t="str">
        <f>LEFT(B1108,FIND(" ",B1108)-1)</f>
        <v>MILTON</v>
      </c>
      <c r="D1108" t="str">
        <f>TRIM(RIGHT(E1108,LEN(E1108)-FIND("@",SUBSTITUTE(E1108,"|","@",LEN(E1108)-LEN(SUBSTITUTE(E1108,"|",""))))))</f>
        <v>EggBoilers</v>
      </c>
      <c r="E1108" t="s">
        <v>2117</v>
      </c>
      <c r="F1108" s="1">
        <v>1099</v>
      </c>
      <c r="G1108" s="1">
        <v>1899</v>
      </c>
      <c r="H1108" s="6">
        <v>42</v>
      </c>
      <c r="I1108">
        <v>4.3</v>
      </c>
      <c r="J1108" s="1">
        <v>1811</v>
      </c>
    </row>
    <row r="1109" spans="1:10">
      <c r="A1109" t="s">
        <v>2375</v>
      </c>
      <c r="B1109" t="s">
        <v>2376</v>
      </c>
      <c r="C1109" t="str">
        <f>LEFT(B1109,FIND(" ",B1109)-1)</f>
        <v>iBELL</v>
      </c>
      <c r="D1109" t="str">
        <f>TRIM(RIGHT(E1109,LEN(E1109)-FIND("@",SUBSTITUTE(E1109,"|","@",LEN(E1109)-LEN(SUBSTITUTE(E1109,"|",""))))))</f>
        <v>ElectricKettles</v>
      </c>
      <c r="E1109" t="s">
        <v>2001</v>
      </c>
      <c r="F1109">
        <v>664</v>
      </c>
      <c r="G1109" s="1">
        <v>1490</v>
      </c>
      <c r="H1109" s="6">
        <v>55</v>
      </c>
      <c r="I1109">
        <v>4</v>
      </c>
      <c r="J1109" s="1">
        <v>2198</v>
      </c>
    </row>
    <row r="1110" spans="1:10">
      <c r="A1110" t="s">
        <v>2377</v>
      </c>
      <c r="B1110" t="s">
        <v>2378</v>
      </c>
      <c r="C1110" t="str">
        <f>LEFT(B1110,FIND(" ",B1110)-1)</f>
        <v>Tosaa</v>
      </c>
      <c r="D1110" t="str">
        <f>TRIM(RIGHT(E1110,LEN(E1110)-FIND("@",SUBSTITUTE(E1110,"|","@",LEN(E1110)-LEN(SUBSTITUTE(E1110,"|",""))))))</f>
        <v>SandwichMakers</v>
      </c>
      <c r="E1110" t="s">
        <v>2124</v>
      </c>
      <c r="F1110">
        <v>260</v>
      </c>
      <c r="G1110">
        <v>350</v>
      </c>
      <c r="H1110" s="6">
        <v>26</v>
      </c>
      <c r="I1110">
        <v>3.9</v>
      </c>
      <c r="J1110" s="1">
        <v>13127</v>
      </c>
    </row>
    <row r="1111" spans="1:10">
      <c r="A1111" t="s">
        <v>2379</v>
      </c>
      <c r="B1111" t="s">
        <v>2380</v>
      </c>
      <c r="C1111" t="str">
        <f>LEFT(B1111,FIND(" ",B1111)-1)</f>
        <v>V-Guard</v>
      </c>
      <c r="D1111" t="str">
        <f>TRIM(RIGHT(E1111,LEN(E1111)-FIND("@",SUBSTITUTE(E1111,"|","@",LEN(E1111)-LEN(SUBSTITUTE(E1111,"|",""))))))</f>
        <v>StorageWaterHeaters</v>
      </c>
      <c r="E1111" t="s">
        <v>2060</v>
      </c>
      <c r="F1111" s="1">
        <v>6499</v>
      </c>
      <c r="G1111" s="1">
        <v>8500</v>
      </c>
      <c r="H1111" s="6">
        <v>24</v>
      </c>
      <c r="I1111">
        <v>4.4000000000000004</v>
      </c>
      <c r="J1111" s="1">
        <v>5865</v>
      </c>
    </row>
    <row r="1112" spans="1:10">
      <c r="A1112" t="s">
        <v>2381</v>
      </c>
      <c r="B1112" t="s">
        <v>2382</v>
      </c>
      <c r="C1112" t="str">
        <f>LEFT(B1112,FIND(" ",B1112)-1)</f>
        <v>AkiaraÂ®</v>
      </c>
      <c r="D1112" t="str">
        <f>TRIM(RIGHT(E1112,LEN(E1112)-FIND("@",SUBSTITUTE(E1112,"|","@",LEN(E1112)-LEN(SUBSTITUTE(E1112,"|",""))))))</f>
        <v>Sewing&amp;EmbroideryMachines</v>
      </c>
      <c r="E1112" t="s">
        <v>2383</v>
      </c>
      <c r="F1112" s="1">
        <v>1484</v>
      </c>
      <c r="G1112" s="1">
        <v>2499</v>
      </c>
      <c r="H1112" s="6">
        <v>41</v>
      </c>
      <c r="I1112">
        <v>3.7</v>
      </c>
      <c r="J1112" s="1">
        <v>1067</v>
      </c>
    </row>
    <row r="1113" spans="1:10">
      <c r="A1113" t="s">
        <v>2384</v>
      </c>
      <c r="B1113" t="s">
        <v>2385</v>
      </c>
      <c r="C1113" t="str">
        <f>LEFT(B1113,FIND(" ",B1113)-1)</f>
        <v>Usha</v>
      </c>
      <c r="D1113" t="str">
        <f>TRIM(RIGHT(E1113,LEN(E1113)-FIND("@",SUBSTITUTE(E1113,"|","@",LEN(E1113)-LEN(SUBSTITUTE(E1113,"|",""))))))</f>
        <v>SteamIrons</v>
      </c>
      <c r="E1113" t="s">
        <v>2088</v>
      </c>
      <c r="F1113">
        <v>999</v>
      </c>
      <c r="G1113" s="1">
        <v>1560</v>
      </c>
      <c r="H1113" s="6">
        <v>36</v>
      </c>
      <c r="I1113">
        <v>3.6</v>
      </c>
      <c r="J1113" s="1">
        <v>4881</v>
      </c>
    </row>
    <row r="1114" spans="1:10">
      <c r="A1114" t="s">
        <v>2386</v>
      </c>
      <c r="B1114" t="s">
        <v>2387</v>
      </c>
      <c r="C1114" t="str">
        <f>LEFT(B1114,FIND(" ",B1114)-1)</f>
        <v>Wonderchef</v>
      </c>
      <c r="D1114" t="str">
        <f>TRIM(RIGHT(E1114,LEN(E1114)-FIND("@",SUBSTITUTE(E1114,"|","@",LEN(E1114)-LEN(SUBSTITUTE(E1114,"|",""))))))</f>
        <v>JuicerMixerGrinders</v>
      </c>
      <c r="E1114" t="s">
        <v>2097</v>
      </c>
      <c r="F1114" s="1">
        <v>3299</v>
      </c>
      <c r="G1114" s="1">
        <v>6500</v>
      </c>
      <c r="H1114" s="6">
        <v>49</v>
      </c>
      <c r="I1114">
        <v>3.7</v>
      </c>
      <c r="J1114" s="1">
        <v>11217</v>
      </c>
    </row>
    <row r="1115" spans="1:10">
      <c r="A1115" t="s">
        <v>2388</v>
      </c>
      <c r="B1115" t="s">
        <v>2389</v>
      </c>
      <c r="C1115" t="str">
        <f>LEFT(B1115,FIND(" ",B1115)-1)</f>
        <v>WIDEWINGS</v>
      </c>
      <c r="D1115" t="str">
        <f>TRIM(RIGHT(E1115,LEN(E1115)-FIND("@",SUBSTITUTE(E1115,"|","@",LEN(E1115)-LEN(SUBSTITUTE(E1115,"|",""))))))</f>
        <v>HandBlenders</v>
      </c>
      <c r="E1115" t="s">
        <v>2038</v>
      </c>
      <c r="F1115">
        <v>259</v>
      </c>
      <c r="G1115">
        <v>999</v>
      </c>
      <c r="H1115" s="6">
        <v>74</v>
      </c>
      <c r="I1115">
        <v>4</v>
      </c>
      <c r="J1115">
        <v>43</v>
      </c>
    </row>
    <row r="1116" spans="1:10">
      <c r="A1116" t="s">
        <v>2390</v>
      </c>
      <c r="B1116" t="s">
        <v>2391</v>
      </c>
      <c r="C1116" t="str">
        <f>LEFT(B1116,FIND(" ",B1116)-1)</f>
        <v>Morphy</v>
      </c>
      <c r="D1116" t="str">
        <f>TRIM(RIGHT(E1116,LEN(E1116)-FIND("@",SUBSTITUTE(E1116,"|","@",LEN(E1116)-LEN(SUBSTITUTE(E1116,"|",""))))))</f>
        <v>MixerGrinders</v>
      </c>
      <c r="E1116" t="s">
        <v>2044</v>
      </c>
      <c r="F1116" s="1">
        <v>3249</v>
      </c>
      <c r="G1116" s="1">
        <v>7795</v>
      </c>
      <c r="H1116" s="6">
        <v>58</v>
      </c>
      <c r="I1116">
        <v>4.2</v>
      </c>
      <c r="J1116" s="1">
        <v>4664</v>
      </c>
    </row>
    <row r="1117" spans="1:10">
      <c r="A1117" t="s">
        <v>2392</v>
      </c>
      <c r="B1117" t="s">
        <v>2393</v>
      </c>
      <c r="C1117" t="str">
        <f>LEFT(B1117,FIND(" ",B1117)-1)</f>
        <v>Philips</v>
      </c>
      <c r="D1117" t="str">
        <f>TRIM(RIGHT(E1117,LEN(E1117)-FIND("@",SUBSTITUTE(E1117,"|","@",LEN(E1117)-LEN(SUBSTITUTE(E1117,"|",""))))))</f>
        <v>SteamIrons</v>
      </c>
      <c r="E1117" t="s">
        <v>2088</v>
      </c>
      <c r="F1117" s="1">
        <v>4280</v>
      </c>
      <c r="G1117" s="1">
        <v>5995</v>
      </c>
      <c r="H1117" s="6">
        <v>29</v>
      </c>
      <c r="I1117">
        <v>3.8</v>
      </c>
      <c r="J1117" s="1">
        <v>2112</v>
      </c>
    </row>
    <row r="1118" spans="1:10">
      <c r="A1118" t="s">
        <v>2394</v>
      </c>
      <c r="B1118" t="s">
        <v>2395</v>
      </c>
      <c r="C1118" t="str">
        <f>LEFT(B1118,FIND(" ",B1118)-1)</f>
        <v>Vedini</v>
      </c>
      <c r="D1118" t="str">
        <f>TRIM(RIGHT(E1118,LEN(E1118)-FIND("@",SUBSTITUTE(E1118,"|","@",LEN(E1118)-LEN(SUBSTITUTE(E1118,"|",""))))))</f>
        <v>SprayBottles</v>
      </c>
      <c r="E1118" t="s">
        <v>2396</v>
      </c>
      <c r="F1118">
        <v>189</v>
      </c>
      <c r="G1118">
        <v>299</v>
      </c>
      <c r="H1118" s="6">
        <v>37</v>
      </c>
      <c r="I1118">
        <v>4.2</v>
      </c>
      <c r="J1118" s="1">
        <v>2737</v>
      </c>
    </row>
    <row r="1119" spans="1:10">
      <c r="A1119" t="s">
        <v>2397</v>
      </c>
      <c r="B1119" t="s">
        <v>2398</v>
      </c>
      <c r="C1119" t="str">
        <f>LEFT(B1119,FIND(" ",B1119)-1)</f>
        <v>Crompton</v>
      </c>
      <c r="D1119" t="str">
        <f>TRIM(RIGHT(E1119,LEN(E1119)-FIND("@",SUBSTITUTE(E1119,"|","@",LEN(E1119)-LEN(SUBSTITUTE(E1119,"|",""))))))</f>
        <v>CeilingFans</v>
      </c>
      <c r="E1119" t="s">
        <v>2174</v>
      </c>
      <c r="F1119" s="1">
        <v>1449</v>
      </c>
      <c r="G1119" s="1">
        <v>2349</v>
      </c>
      <c r="H1119" s="6">
        <v>38</v>
      </c>
      <c r="I1119">
        <v>3.9</v>
      </c>
      <c r="J1119" s="1">
        <v>9019</v>
      </c>
    </row>
    <row r="1120" spans="1:10">
      <c r="A1120" t="s">
        <v>2399</v>
      </c>
      <c r="B1120" t="s">
        <v>2400</v>
      </c>
      <c r="C1120" t="str">
        <f>LEFT(B1120,FIND(" ",B1120)-1)</f>
        <v>Kuber</v>
      </c>
      <c r="D1120" t="str">
        <f>TRIM(RIGHT(E1120,LEN(E1120)-FIND("@",SUBSTITUTE(E1120,"|","@",LEN(E1120)-LEN(SUBSTITUTE(E1120,"|",""))))))</f>
        <v>LaundryBaskets</v>
      </c>
      <c r="E1120" t="s">
        <v>2085</v>
      </c>
      <c r="F1120">
        <v>199</v>
      </c>
      <c r="G1120">
        <v>499</v>
      </c>
      <c r="H1120" s="6">
        <v>6</v>
      </c>
      <c r="I1120">
        <v>4</v>
      </c>
      <c r="J1120" s="1">
        <v>10234</v>
      </c>
    </row>
    <row r="1121" spans="1:10">
      <c r="A1121" t="s">
        <v>2401</v>
      </c>
      <c r="B1121" t="s">
        <v>2402</v>
      </c>
      <c r="C1121" t="str">
        <f>LEFT(B1121,FIND(" ",B1121)-1)</f>
        <v>JM</v>
      </c>
      <c r="D1121" t="str">
        <f>TRIM(RIGHT(E1121,LEN(E1121)-FIND("@",SUBSTITUTE(E1121,"|","@",LEN(E1121)-LEN(SUBSTITUTE(E1121,"|",""))))))</f>
        <v>HandMixers</v>
      </c>
      <c r="E1121" t="s">
        <v>2403</v>
      </c>
      <c r="F1121">
        <v>474</v>
      </c>
      <c r="G1121" s="1">
        <v>1299</v>
      </c>
      <c r="H1121" s="6">
        <v>64</v>
      </c>
      <c r="I1121">
        <v>4.0999999999999996</v>
      </c>
      <c r="J1121">
        <v>550</v>
      </c>
    </row>
    <row r="1122" spans="1:10">
      <c r="A1122" t="s">
        <v>2404</v>
      </c>
      <c r="B1122" t="s">
        <v>2405</v>
      </c>
      <c r="C1122" t="str">
        <f>LEFT(B1122,FIND(" ",B1122)-1)</f>
        <v>Oratech</v>
      </c>
      <c r="D1122" t="str">
        <f>TRIM(RIGHT(E1122,LEN(E1122)-FIND("@",SUBSTITUTE(E1122,"|","@",LEN(E1122)-LEN(SUBSTITUTE(E1122,"|",""))))))</f>
        <v>HandBlenders</v>
      </c>
      <c r="E1122" t="s">
        <v>2038</v>
      </c>
      <c r="F1122">
        <v>279</v>
      </c>
      <c r="G1122">
        <v>499</v>
      </c>
      <c r="H1122" s="6">
        <v>44</v>
      </c>
      <c r="I1122">
        <v>4.8</v>
      </c>
      <c r="J1122">
        <v>28</v>
      </c>
    </row>
    <row r="1123" spans="1:10">
      <c r="A1123" t="s">
        <v>2406</v>
      </c>
      <c r="B1123" t="s">
        <v>2407</v>
      </c>
      <c r="C1123" t="str">
        <f>LEFT(B1123,FIND(" ",B1123)-1)</f>
        <v>Havells</v>
      </c>
      <c r="D1123" t="str">
        <f>TRIM(RIGHT(E1123,LEN(E1123)-FIND("@",SUBSTITUTE(E1123,"|","@",LEN(E1123)-LEN(SUBSTITUTE(E1123,"|",""))))))</f>
        <v>CeilingFans</v>
      </c>
      <c r="E1123" t="s">
        <v>2174</v>
      </c>
      <c r="F1123" s="1">
        <v>1999</v>
      </c>
      <c r="G1123" s="1">
        <v>4775</v>
      </c>
      <c r="H1123" s="6">
        <v>58</v>
      </c>
      <c r="I1123">
        <v>4.2</v>
      </c>
      <c r="J1123" s="1">
        <v>1353</v>
      </c>
    </row>
    <row r="1124" spans="1:10">
      <c r="A1124" t="s">
        <v>2408</v>
      </c>
      <c r="B1124" t="s">
        <v>2409</v>
      </c>
      <c r="C1124" t="str">
        <f>LEFT(B1124,FIND(" ",B1124)-1)</f>
        <v>Pick</v>
      </c>
      <c r="D1124" t="str">
        <f>TRIM(RIGHT(E1124,LEN(E1124)-FIND("@",SUBSTITUTE(E1124,"|","@",LEN(E1124)-LEN(SUBSTITUTE(E1124,"|",""))))))</f>
        <v>LintShavers</v>
      </c>
      <c r="E1124" t="s">
        <v>2011</v>
      </c>
      <c r="F1124">
        <v>799</v>
      </c>
      <c r="G1124" s="1">
        <v>1230</v>
      </c>
      <c r="H1124" s="6">
        <v>35</v>
      </c>
      <c r="I1124">
        <v>4.0999999999999996</v>
      </c>
      <c r="J1124" s="1">
        <v>2138</v>
      </c>
    </row>
    <row r="1125" spans="1:10">
      <c r="A1125" t="s">
        <v>2410</v>
      </c>
      <c r="B1125" t="s">
        <v>2411</v>
      </c>
      <c r="C1125" t="str">
        <f>LEFT(B1125,FIND(" ",B1125)-1)</f>
        <v>Rico</v>
      </c>
      <c r="D1125" t="str">
        <f>TRIM(RIGHT(E1125,LEN(E1125)-FIND("@",SUBSTITUTE(E1125,"|","@",LEN(E1125)-LEN(SUBSTITUTE(E1125,"|",""))))))</f>
        <v>MiniFoodProcessors&amp;Choppers</v>
      </c>
      <c r="E1125" t="s">
        <v>2151</v>
      </c>
      <c r="F1125">
        <v>949</v>
      </c>
      <c r="G1125" s="1">
        <v>1999</v>
      </c>
      <c r="H1125" s="6">
        <v>53</v>
      </c>
      <c r="I1125">
        <v>4</v>
      </c>
      <c r="J1125" s="1">
        <v>1679</v>
      </c>
    </row>
    <row r="1126" spans="1:10">
      <c r="A1126" t="s">
        <v>2412</v>
      </c>
      <c r="B1126" t="s">
        <v>2413</v>
      </c>
      <c r="C1126" t="str">
        <f>LEFT(B1126,FIND(" ",B1126)-1)</f>
        <v>Butterfly</v>
      </c>
      <c r="D1126" t="str">
        <f>TRIM(RIGHT(E1126,LEN(E1126)-FIND("@",SUBSTITUTE(E1126,"|","@",LEN(E1126)-LEN(SUBSTITUTE(E1126,"|",""))))))</f>
        <v>WetGrinders</v>
      </c>
      <c r="E1126" t="s">
        <v>2414</v>
      </c>
      <c r="F1126" s="3">
        <v>3657.66</v>
      </c>
      <c r="G1126" s="1">
        <v>5156</v>
      </c>
      <c r="H1126" s="6">
        <v>29</v>
      </c>
      <c r="I1126">
        <v>3.9</v>
      </c>
      <c r="J1126" s="1">
        <v>12837</v>
      </c>
    </row>
    <row r="1127" spans="1:10">
      <c r="A1127" t="s">
        <v>2415</v>
      </c>
      <c r="B1127" t="s">
        <v>2416</v>
      </c>
      <c r="C1127" t="str">
        <f>LEFT(B1127,FIND(" ",B1127)-1)</f>
        <v>AGARO</v>
      </c>
      <c r="D1127" t="str">
        <f>TRIM(RIGHT(E1127,LEN(E1127)-FIND("@",SUBSTITUTE(E1127,"|","@",LEN(E1127)-LEN(SUBSTITUTE(E1127,"|",""))))))</f>
        <v>OvenToasterGrills</v>
      </c>
      <c r="E1127" t="s">
        <v>2417</v>
      </c>
      <c r="F1127" s="1">
        <v>1699</v>
      </c>
      <c r="G1127" s="1">
        <v>1999</v>
      </c>
      <c r="H1127" s="6">
        <v>15</v>
      </c>
      <c r="I1127">
        <v>4.0999999999999996</v>
      </c>
      <c r="J1127" s="1">
        <v>8873</v>
      </c>
    </row>
    <row r="1128" spans="1:10">
      <c r="A1128" t="s">
        <v>2418</v>
      </c>
      <c r="B1128" t="s">
        <v>2419</v>
      </c>
      <c r="C1128" t="str">
        <f>LEFT(B1128,FIND(" ",B1128)-1)</f>
        <v>Philips</v>
      </c>
      <c r="D1128" t="str">
        <f>TRIM(RIGHT(E1128,LEN(E1128)-FIND("@",SUBSTITUTE(E1128,"|","@",LEN(E1128)-LEN(SUBSTITUTE(E1128,"|",""))))))</f>
        <v>SteamIrons</v>
      </c>
      <c r="E1128" t="s">
        <v>2088</v>
      </c>
      <c r="F1128" s="1">
        <v>1849</v>
      </c>
      <c r="G1128" s="1">
        <v>2095</v>
      </c>
      <c r="H1128" s="6">
        <v>12</v>
      </c>
      <c r="I1128">
        <v>4.3</v>
      </c>
      <c r="J1128" s="1">
        <v>7681</v>
      </c>
    </row>
    <row r="1129" spans="1:10">
      <c r="A1129" t="s">
        <v>2420</v>
      </c>
      <c r="B1129" t="s">
        <v>2421</v>
      </c>
      <c r="C1129" t="str">
        <f>LEFT(B1129,FIND(" ",B1129)-1)</f>
        <v>Havells</v>
      </c>
      <c r="D1129" t="str">
        <f>TRIM(RIGHT(E1129,LEN(E1129)-FIND("@",SUBSTITUTE(E1129,"|","@",LEN(E1129)-LEN(SUBSTITUTE(E1129,"|",""))))))</f>
        <v>FanHeaters</v>
      </c>
      <c r="E1129" t="s">
        <v>2008</v>
      </c>
      <c r="F1129" s="1">
        <v>12499</v>
      </c>
      <c r="G1129" s="1">
        <v>19825</v>
      </c>
      <c r="H1129" s="6">
        <v>37</v>
      </c>
      <c r="I1129">
        <v>4.0999999999999996</v>
      </c>
      <c r="J1129">
        <v>322</v>
      </c>
    </row>
    <row r="1130" spans="1:10">
      <c r="A1130" t="s">
        <v>2422</v>
      </c>
      <c r="B1130" t="s">
        <v>2423</v>
      </c>
      <c r="C1130" t="str">
        <f>LEFT(B1130,FIND(" ",B1130)-1)</f>
        <v>Bajaj</v>
      </c>
      <c r="D1130" t="str">
        <f>TRIM(RIGHT(E1130,LEN(E1130)-FIND("@",SUBSTITUTE(E1130,"|","@",LEN(E1130)-LEN(SUBSTITUTE(E1130,"|",""))))))</f>
        <v>DryIrons</v>
      </c>
      <c r="E1130" t="s">
        <v>2041</v>
      </c>
      <c r="F1130" s="1">
        <v>1099</v>
      </c>
      <c r="G1130" s="1">
        <v>1920</v>
      </c>
      <c r="H1130" s="6">
        <v>43</v>
      </c>
      <c r="I1130">
        <v>4.2</v>
      </c>
      <c r="J1130" s="1">
        <v>9772</v>
      </c>
    </row>
    <row r="1131" spans="1:10">
      <c r="A1131" t="s">
        <v>2424</v>
      </c>
      <c r="B1131" t="s">
        <v>2425</v>
      </c>
      <c r="C1131" t="str">
        <f>LEFT(B1131,FIND(" ",B1131)-1)</f>
        <v>Aquasure</v>
      </c>
      <c r="D1131" t="str">
        <f>TRIM(RIGHT(E1131,LEN(E1131)-FIND("@",SUBSTITUTE(E1131,"|","@",LEN(E1131)-LEN(SUBSTITUTE(E1131,"|",""))))))</f>
        <v>WaterFilters&amp;Purifiers</v>
      </c>
      <c r="E1131" t="s">
        <v>2347</v>
      </c>
      <c r="F1131" s="1">
        <v>8199</v>
      </c>
      <c r="G1131" s="1">
        <v>16000</v>
      </c>
      <c r="H1131" s="6">
        <v>49</v>
      </c>
      <c r="I1131">
        <v>3.9</v>
      </c>
      <c r="J1131" s="1">
        <v>18497</v>
      </c>
    </row>
    <row r="1132" spans="1:10">
      <c r="A1132" t="s">
        <v>2426</v>
      </c>
      <c r="B1132" t="s">
        <v>2427</v>
      </c>
      <c r="C1132" t="str">
        <f>LEFT(B1132,FIND(" ",B1132)-1)</f>
        <v>ROYAL</v>
      </c>
      <c r="D1132" t="str">
        <f>TRIM(RIGHT(E1132,LEN(E1132)-FIND("@",SUBSTITUTE(E1132,"|","@",LEN(E1132)-LEN(SUBSTITUTE(E1132,"|",""))))))</f>
        <v>JuicerMixerGrinders</v>
      </c>
      <c r="E1132" t="s">
        <v>2097</v>
      </c>
      <c r="F1132">
        <v>499</v>
      </c>
      <c r="G1132" s="1">
        <v>2199</v>
      </c>
      <c r="H1132" s="6">
        <v>77</v>
      </c>
      <c r="I1132">
        <v>3.7</v>
      </c>
      <c r="J1132">
        <v>53</v>
      </c>
    </row>
    <row r="1133" spans="1:10">
      <c r="A1133" t="s">
        <v>2428</v>
      </c>
      <c r="B1133" t="s">
        <v>2429</v>
      </c>
      <c r="C1133" t="str">
        <f>LEFT(B1133,FIND(" ",B1133)-1)</f>
        <v>KENT</v>
      </c>
      <c r="D1133" t="str">
        <f>TRIM(RIGHT(E1133,LEN(E1133)-FIND("@",SUBSTITUTE(E1133,"|","@",LEN(E1133)-LEN(SUBSTITUTE(E1133,"|",""))))))</f>
        <v>HandheldVacuums</v>
      </c>
      <c r="E1133" t="s">
        <v>2104</v>
      </c>
      <c r="F1133" s="1">
        <v>6999</v>
      </c>
      <c r="G1133" s="1">
        <v>14999</v>
      </c>
      <c r="H1133" s="6">
        <v>53</v>
      </c>
      <c r="I1133">
        <v>4.0999999999999996</v>
      </c>
      <c r="J1133" s="1">
        <v>1728</v>
      </c>
    </row>
    <row r="1134" spans="1:10">
      <c r="A1134" t="s">
        <v>2430</v>
      </c>
      <c r="B1134" t="s">
        <v>2431</v>
      </c>
      <c r="C1134" t="str">
        <f>LEFT(B1134,FIND(" ",B1134)-1)</f>
        <v>ENEM</v>
      </c>
      <c r="D1134" t="str">
        <f>TRIM(RIGHT(E1134,LEN(E1134)-FIND("@",SUBSTITUTE(E1134,"|","@",LEN(E1134)-LEN(SUBSTITUTE(E1134,"|",""))))))</f>
        <v>VacuumSealers</v>
      </c>
      <c r="E1134" t="s">
        <v>2171</v>
      </c>
      <c r="F1134" s="1">
        <v>1595</v>
      </c>
      <c r="G1134" s="1">
        <v>1799</v>
      </c>
      <c r="H1134" s="6">
        <v>11</v>
      </c>
      <c r="I1134">
        <v>4</v>
      </c>
      <c r="J1134" s="1">
        <v>2877</v>
      </c>
    </row>
    <row r="1135" spans="1:10">
      <c r="A1135" t="s">
        <v>2432</v>
      </c>
      <c r="B1135" t="s">
        <v>2433</v>
      </c>
      <c r="C1135" t="str">
        <f>LEFT(B1135,FIND(" ",B1135)-1)</f>
        <v>Wipro</v>
      </c>
      <c r="D1135" t="str">
        <f>TRIM(RIGHT(E1135,LEN(E1135)-FIND("@",SUBSTITUTE(E1135,"|","@",LEN(E1135)-LEN(SUBSTITUTE(E1135,"|",""))))))</f>
        <v>DryIrons</v>
      </c>
      <c r="E1135" t="s">
        <v>2041</v>
      </c>
      <c r="F1135" s="1">
        <v>1049</v>
      </c>
      <c r="G1135" s="1">
        <v>1950</v>
      </c>
      <c r="H1135" s="6">
        <v>46</v>
      </c>
      <c r="I1135">
        <v>3.8</v>
      </c>
      <c r="J1135">
        <v>250</v>
      </c>
    </row>
    <row r="1136" spans="1:10">
      <c r="A1136" t="s">
        <v>2434</v>
      </c>
      <c r="B1136" t="s">
        <v>2435</v>
      </c>
      <c r="C1136" t="str">
        <f>LEFT(B1136,FIND(" ",B1136)-1)</f>
        <v>Inalsa</v>
      </c>
      <c r="D1136" t="str">
        <f>TRIM(RIGHT(E1136,LEN(E1136)-FIND("@",SUBSTITUTE(E1136,"|","@",LEN(E1136)-LEN(SUBSTITUTE(E1136,"|",""))))))</f>
        <v>Kettle&amp;ToasterSets</v>
      </c>
      <c r="E1136" t="s">
        <v>2057</v>
      </c>
      <c r="F1136" s="1">
        <v>1182</v>
      </c>
      <c r="G1136" s="1">
        <v>2995</v>
      </c>
      <c r="H1136" s="6">
        <v>61</v>
      </c>
      <c r="I1136">
        <v>4.2</v>
      </c>
      <c r="J1136" s="1">
        <v>5178</v>
      </c>
    </row>
    <row r="1137" spans="1:10">
      <c r="A1137" t="s">
        <v>2436</v>
      </c>
      <c r="B1137" t="s">
        <v>2437</v>
      </c>
      <c r="C1137" t="str">
        <f>LEFT(B1137,FIND(" ",B1137)-1)</f>
        <v>VRPRIME</v>
      </c>
      <c r="D1137" t="str">
        <f>TRIM(RIGHT(E1137,LEN(E1137)-FIND("@",SUBSTITUTE(E1137,"|","@",LEN(E1137)-LEN(SUBSTITUTE(E1137,"|",""))))))</f>
        <v>LintShavers</v>
      </c>
      <c r="E1137" t="s">
        <v>2011</v>
      </c>
      <c r="F1137">
        <v>499</v>
      </c>
      <c r="G1137">
        <v>999</v>
      </c>
      <c r="H1137" s="6">
        <v>5</v>
      </c>
      <c r="I1137">
        <v>4.5999999999999996</v>
      </c>
      <c r="J1137">
        <v>79</v>
      </c>
    </row>
    <row r="1138" spans="1:10">
      <c r="A1138" t="s">
        <v>2438</v>
      </c>
      <c r="B1138" t="s">
        <v>2439</v>
      </c>
      <c r="C1138" t="str">
        <f>LEFT(B1138,FIND(" ",B1138)-1)</f>
        <v>Philips</v>
      </c>
      <c r="D1138" t="str">
        <f>TRIM(RIGHT(E1138,LEN(E1138)-FIND("@",SUBSTITUTE(E1138,"|","@",LEN(E1138)-LEN(SUBSTITUTE(E1138,"|",""))))))</f>
        <v>HEPAAirPurifiers</v>
      </c>
      <c r="E1138" t="s">
        <v>2344</v>
      </c>
      <c r="F1138" s="1">
        <v>8799</v>
      </c>
      <c r="G1138" s="1">
        <v>11995</v>
      </c>
      <c r="H1138" s="6">
        <v>27</v>
      </c>
      <c r="I1138">
        <v>4.0999999999999996</v>
      </c>
      <c r="J1138" s="1">
        <v>4157</v>
      </c>
    </row>
    <row r="1139" spans="1:10">
      <c r="A1139" t="s">
        <v>2440</v>
      </c>
      <c r="B1139" t="s">
        <v>2441</v>
      </c>
      <c r="C1139" t="str">
        <f>LEFT(B1139,FIND(" ",B1139)-1)</f>
        <v>Eopora</v>
      </c>
      <c r="D1139" t="str">
        <f>TRIM(RIGHT(E1139,LEN(E1139)-FIND("@",SUBSTITUTE(E1139,"|","@",LEN(E1139)-LEN(SUBSTITUTE(E1139,"|",""))))))</f>
        <v>ElectricHeaters</v>
      </c>
      <c r="E1139" t="s">
        <v>2005</v>
      </c>
      <c r="F1139" s="1">
        <v>1529</v>
      </c>
      <c r="G1139" s="1">
        <v>2999</v>
      </c>
      <c r="H1139" s="6">
        <v>49</v>
      </c>
      <c r="I1139">
        <v>3.3</v>
      </c>
      <c r="J1139">
        <v>29</v>
      </c>
    </row>
    <row r="1140" spans="1:10">
      <c r="A1140" t="s">
        <v>2442</v>
      </c>
      <c r="B1140" t="s">
        <v>2443</v>
      </c>
      <c r="C1140" t="str">
        <f>LEFT(B1140,FIND(" ",B1140)-1)</f>
        <v>Usha</v>
      </c>
      <c r="D1140" t="str">
        <f>TRIM(RIGHT(E1140,LEN(E1140)-FIND("@",SUBSTITUTE(E1140,"|","@",LEN(E1140)-LEN(SUBSTITUTE(E1140,"|",""))))))</f>
        <v>DryIrons</v>
      </c>
      <c r="E1140" t="s">
        <v>2041</v>
      </c>
      <c r="F1140" s="1">
        <v>1199</v>
      </c>
      <c r="G1140" s="1">
        <v>1690</v>
      </c>
      <c r="H1140" s="6">
        <v>29</v>
      </c>
      <c r="I1140">
        <v>4.2</v>
      </c>
      <c r="J1140" s="1">
        <v>4580</v>
      </c>
    </row>
    <row r="1141" spans="1:10">
      <c r="A1141" t="s">
        <v>2444</v>
      </c>
      <c r="B1141" t="s">
        <v>2445</v>
      </c>
      <c r="C1141" t="str">
        <f>LEFT(B1141,FIND(" ",B1141)-1)</f>
        <v>Wipro</v>
      </c>
      <c r="D1141" t="str">
        <f>TRIM(RIGHT(E1141,LEN(E1141)-FIND("@",SUBSTITUTE(E1141,"|","@",LEN(E1141)-LEN(SUBSTITUTE(E1141,"|",""))))))</f>
        <v>EggBoilers</v>
      </c>
      <c r="E1141" t="s">
        <v>2117</v>
      </c>
      <c r="F1141" s="1">
        <v>1052</v>
      </c>
      <c r="G1141" s="1">
        <v>1790</v>
      </c>
      <c r="H1141" s="6">
        <v>41</v>
      </c>
      <c r="I1141">
        <v>4.3</v>
      </c>
      <c r="J1141" s="1">
        <v>1404</v>
      </c>
    </row>
    <row r="1142" spans="1:10">
      <c r="A1142" t="s">
        <v>2446</v>
      </c>
      <c r="B1142" t="s">
        <v>2447</v>
      </c>
      <c r="C1142" t="str">
        <f>LEFT(B1142,FIND(" ",B1142)-1)</f>
        <v>Philips</v>
      </c>
      <c r="D1142" t="str">
        <f>TRIM(RIGHT(E1142,LEN(E1142)-FIND("@",SUBSTITUTE(E1142,"|","@",LEN(E1142)-LEN(SUBSTITUTE(E1142,"|",""))))))</f>
        <v>Juicers</v>
      </c>
      <c r="E1142" t="s">
        <v>2448</v>
      </c>
      <c r="F1142" s="1">
        <v>6499</v>
      </c>
      <c r="G1142" s="1">
        <v>8995</v>
      </c>
      <c r="H1142" s="6">
        <v>28</v>
      </c>
      <c r="I1142">
        <v>4.3</v>
      </c>
      <c r="J1142" s="1">
        <v>2810</v>
      </c>
    </row>
    <row r="1143" spans="1:10">
      <c r="A1143" t="s">
        <v>2449</v>
      </c>
      <c r="B1143" t="s">
        <v>2450</v>
      </c>
      <c r="C1143" t="str">
        <f>LEFT(B1143,FIND(" ",B1143)-1)</f>
        <v>Kitchenwell</v>
      </c>
      <c r="D1143" t="str">
        <f>TRIM(RIGHT(E1143,LEN(E1143)-FIND("@",SUBSTITUTE(E1143,"|","@",LEN(E1143)-LEN(SUBSTITUTE(E1143,"|",""))))))</f>
        <v>DigitalScales</v>
      </c>
      <c r="E1143" t="s">
        <v>2162</v>
      </c>
      <c r="F1143">
        <v>239</v>
      </c>
      <c r="G1143">
        <v>239</v>
      </c>
      <c r="H1143" s="6">
        <v>0</v>
      </c>
      <c r="I1143">
        <v>4.3</v>
      </c>
      <c r="J1143">
        <v>7</v>
      </c>
    </row>
    <row r="1144" spans="1:10">
      <c r="A1144" t="s">
        <v>2451</v>
      </c>
      <c r="B1144" t="s">
        <v>2452</v>
      </c>
      <c r="C1144" t="str">
        <f>LEFT(B1144,FIND(" ",B1144)-1)</f>
        <v>FIGMENT</v>
      </c>
      <c r="D1144" t="str">
        <f>TRIM(RIGHT(E1144,LEN(E1144)-FIND("@",SUBSTITUTE(E1144,"|","@",LEN(E1144)-LEN(SUBSTITUTE(E1144,"|",""))))))</f>
        <v>HandBlenders</v>
      </c>
      <c r="E1144" t="s">
        <v>2038</v>
      </c>
      <c r="F1144">
        <v>699</v>
      </c>
      <c r="G1144" s="1">
        <v>1599</v>
      </c>
      <c r="H1144" s="6">
        <v>56</v>
      </c>
      <c r="I1144">
        <v>4.7</v>
      </c>
      <c r="J1144" s="1">
        <v>1729</v>
      </c>
    </row>
    <row r="1145" spans="1:10">
      <c r="A1145" t="s">
        <v>2453</v>
      </c>
      <c r="B1145" t="s">
        <v>2454</v>
      </c>
      <c r="C1145" t="str">
        <f>LEFT(B1145,FIND(" ",B1145)-1)</f>
        <v>Balzano</v>
      </c>
      <c r="D1145" t="str">
        <f>TRIM(RIGHT(E1145,LEN(E1145)-FIND("@",SUBSTITUTE(E1145,"|","@",LEN(E1145)-LEN(SUBSTITUTE(E1145,"|",""))))))</f>
        <v>SmallKitchenAppliances</v>
      </c>
      <c r="E1145" t="s">
        <v>2455</v>
      </c>
      <c r="F1145" s="1">
        <v>2599</v>
      </c>
      <c r="G1145" s="1">
        <v>4290</v>
      </c>
      <c r="H1145" s="6">
        <v>39</v>
      </c>
      <c r="I1145">
        <v>4.4000000000000004</v>
      </c>
      <c r="J1145" s="1">
        <v>2116</v>
      </c>
    </row>
    <row r="1146" spans="1:10">
      <c r="A1146" t="s">
        <v>2456</v>
      </c>
      <c r="B1146" t="s">
        <v>2457</v>
      </c>
      <c r="C1146" t="str">
        <f>LEFT(B1146,FIND(" ",B1146)-1)</f>
        <v>Swiss</v>
      </c>
      <c r="D1146" t="str">
        <f>TRIM(RIGHT(E1146,LEN(E1146)-FIND("@",SUBSTITUTE(E1146,"|","@",LEN(E1146)-LEN(SUBSTITUTE(E1146,"|",""))))))</f>
        <v>HandheldVacuums</v>
      </c>
      <c r="E1146" t="s">
        <v>2104</v>
      </c>
      <c r="F1146" s="1">
        <v>1547</v>
      </c>
      <c r="G1146" s="1">
        <v>2890</v>
      </c>
      <c r="H1146" s="6">
        <v>46</v>
      </c>
      <c r="I1146">
        <v>3.9</v>
      </c>
      <c r="J1146">
        <v>463</v>
      </c>
    </row>
    <row r="1147" spans="1:10">
      <c r="A1147" t="s">
        <v>2458</v>
      </c>
      <c r="B1147" t="s">
        <v>2459</v>
      </c>
      <c r="C1147" t="str">
        <f>LEFT(B1147,FIND(" ",B1147)-1)</f>
        <v>Zuvexa</v>
      </c>
      <c r="D1147" t="str">
        <f>TRIM(RIGHT(E1147,LEN(E1147)-FIND("@",SUBSTITUTE(E1147,"|","@",LEN(E1147)-LEN(SUBSTITUTE(E1147,"|",""))))))</f>
        <v>HandBlenders</v>
      </c>
      <c r="E1147" t="s">
        <v>2038</v>
      </c>
      <c r="F1147">
        <v>499</v>
      </c>
      <c r="G1147" s="1">
        <v>1299</v>
      </c>
      <c r="H1147" s="6">
        <v>62</v>
      </c>
      <c r="I1147">
        <v>4.7</v>
      </c>
      <c r="J1147">
        <v>54</v>
      </c>
    </row>
    <row r="1148" spans="1:10">
      <c r="A1148" t="s">
        <v>2460</v>
      </c>
      <c r="B1148" t="s">
        <v>2461</v>
      </c>
      <c r="C1148" t="str">
        <f>LEFT(B1148,FIND(" ",B1148)-1)</f>
        <v>Usha</v>
      </c>
      <c r="D1148" t="str">
        <f>TRIM(RIGHT(E1148,LEN(E1148)-FIND("@",SUBSTITUTE(E1148,"|","@",LEN(E1148)-LEN(SUBSTITUTE(E1148,"|",""))))))</f>
        <v>ImmersionRods</v>
      </c>
      <c r="E1148" t="s">
        <v>2075</v>
      </c>
      <c r="F1148">
        <v>510</v>
      </c>
      <c r="G1148">
        <v>640</v>
      </c>
      <c r="H1148" s="6">
        <v>2</v>
      </c>
      <c r="I1148">
        <v>4.0999999999999996</v>
      </c>
      <c r="J1148" s="1">
        <v>7229</v>
      </c>
    </row>
    <row r="1149" spans="1:10">
      <c r="A1149" t="s">
        <v>2462</v>
      </c>
      <c r="B1149" t="s">
        <v>2463</v>
      </c>
      <c r="C1149" t="str">
        <f>LEFT(B1149,FIND(" ",B1149)-1)</f>
        <v>ACTIVA</v>
      </c>
      <c r="D1149" t="str">
        <f>TRIM(RIGHT(E1149,LEN(E1149)-FIND("@",SUBSTITUTE(E1149,"|","@",LEN(E1149)-LEN(SUBSTITUTE(E1149,"|",""))))))</f>
        <v>InstantWaterHeaters</v>
      </c>
      <c r="E1149" t="s">
        <v>2047</v>
      </c>
      <c r="F1149" s="1">
        <v>1899</v>
      </c>
      <c r="G1149" s="1">
        <v>3790</v>
      </c>
      <c r="H1149" s="6">
        <v>5</v>
      </c>
      <c r="I1149">
        <v>3.8</v>
      </c>
      <c r="J1149" s="1">
        <v>3842</v>
      </c>
    </row>
    <row r="1150" spans="1:10">
      <c r="A1150" t="s">
        <v>2464</v>
      </c>
      <c r="B1150" t="s">
        <v>2465</v>
      </c>
      <c r="C1150" t="str">
        <f>LEFT(B1150,FIND(" ",B1150)-1)</f>
        <v>Havells</v>
      </c>
      <c r="D1150" t="str">
        <f>TRIM(RIGHT(E1150,LEN(E1150)-FIND("@",SUBSTITUTE(E1150,"|","@",LEN(E1150)-LEN(SUBSTITUTE(E1150,"|",""))))))</f>
        <v>InstantWaterHeaters</v>
      </c>
      <c r="E1150" t="s">
        <v>2047</v>
      </c>
      <c r="F1150" s="1">
        <v>2599</v>
      </c>
      <c r="G1150" s="1">
        <v>4560</v>
      </c>
      <c r="H1150" s="6">
        <v>43</v>
      </c>
      <c r="I1150">
        <v>4.4000000000000004</v>
      </c>
      <c r="J1150">
        <v>646</v>
      </c>
    </row>
    <row r="1151" spans="1:10">
      <c r="A1151" t="s">
        <v>2466</v>
      </c>
      <c r="B1151" t="s">
        <v>2467</v>
      </c>
      <c r="C1151" t="str">
        <f>LEFT(B1151,FIND(" ",B1151)-1)</f>
        <v>Lifelong</v>
      </c>
      <c r="D1151" t="str">
        <f>TRIM(RIGHT(E1151,LEN(E1151)-FIND("@",SUBSTITUTE(E1151,"|","@",LEN(E1151)-LEN(SUBSTITUTE(E1151,"|",""))))))</f>
        <v>EggBoilers</v>
      </c>
      <c r="E1151" t="s">
        <v>2117</v>
      </c>
      <c r="F1151" s="1">
        <v>1199</v>
      </c>
      <c r="G1151" s="1">
        <v>3500</v>
      </c>
      <c r="H1151" s="6">
        <v>66</v>
      </c>
      <c r="I1151">
        <v>4.3</v>
      </c>
      <c r="J1151" s="1">
        <v>1802</v>
      </c>
    </row>
    <row r="1152" spans="1:10">
      <c r="A1152" t="s">
        <v>2468</v>
      </c>
      <c r="B1152" t="s">
        <v>2469</v>
      </c>
      <c r="C1152" t="str">
        <f>LEFT(B1152,FIND(" ",B1152)-1)</f>
        <v>INDIASÂ®â„¢</v>
      </c>
      <c r="D1152" t="str">
        <f>TRIM(RIGHT(E1152,LEN(E1152)-FIND("@",SUBSTITUTE(E1152,"|","@",LEN(E1152)-LEN(SUBSTITUTE(E1152,"|",""))))))</f>
        <v>InstantWaterHeaters</v>
      </c>
      <c r="E1152" t="s">
        <v>2047</v>
      </c>
      <c r="F1152">
        <v>999</v>
      </c>
      <c r="G1152" s="1">
        <v>2600</v>
      </c>
      <c r="H1152" s="6">
        <v>62</v>
      </c>
      <c r="I1152">
        <v>3.4</v>
      </c>
      <c r="J1152">
        <v>252</v>
      </c>
    </row>
    <row r="1153" spans="1:10">
      <c r="A1153" t="s">
        <v>2470</v>
      </c>
      <c r="B1153" t="s">
        <v>2471</v>
      </c>
      <c r="C1153" t="str">
        <f>LEFT(B1153,FIND(" ",B1153)-1)</f>
        <v>AmazonBasics</v>
      </c>
      <c r="D1153" t="str">
        <f>TRIM(RIGHT(E1153,LEN(E1153)-FIND("@",SUBSTITUTE(E1153,"|","@",LEN(E1153)-LEN(SUBSTITUTE(E1153,"|",""))))))</f>
        <v>InductionCooktop</v>
      </c>
      <c r="E1153" t="s">
        <v>2029</v>
      </c>
      <c r="F1153" s="1">
        <v>1999</v>
      </c>
      <c r="G1153" s="1">
        <v>3300</v>
      </c>
      <c r="H1153" s="6">
        <v>39</v>
      </c>
      <c r="I1153">
        <v>4.2</v>
      </c>
      <c r="J1153">
        <v>780</v>
      </c>
    </row>
    <row r="1154" spans="1:10">
      <c r="A1154" t="s">
        <v>2472</v>
      </c>
      <c r="B1154" t="s">
        <v>2473</v>
      </c>
      <c r="C1154" t="str">
        <f>LEFT(B1154,FIND(" ",B1154)-1)</f>
        <v>Sui</v>
      </c>
      <c r="D1154" t="str">
        <f>TRIM(RIGHT(E1154,LEN(E1154)-FIND("@",SUBSTITUTE(E1154,"|","@",LEN(E1154)-LEN(SUBSTITUTE(E1154,"|",""))))))</f>
        <v>HandBlenders</v>
      </c>
      <c r="E1154" t="s">
        <v>2038</v>
      </c>
      <c r="F1154">
        <v>210</v>
      </c>
      <c r="G1154">
        <v>699</v>
      </c>
      <c r="H1154" s="6">
        <v>7</v>
      </c>
      <c r="I1154">
        <v>3.7</v>
      </c>
      <c r="J1154">
        <v>74</v>
      </c>
    </row>
    <row r="1155" spans="1:10">
      <c r="A1155" t="s">
        <v>2474</v>
      </c>
      <c r="B1155" t="s">
        <v>2475</v>
      </c>
      <c r="C1155" t="str">
        <f>LEFT(B1155,FIND(" ",B1155)-1)</f>
        <v>Philips</v>
      </c>
      <c r="D1155" t="str">
        <f>TRIM(RIGHT(E1155,LEN(E1155)-FIND("@",SUBSTITUTE(E1155,"|","@",LEN(E1155)-LEN(SUBSTITUTE(E1155,"|",""))))))</f>
        <v>HEPAAirPurifiers</v>
      </c>
      <c r="E1155" t="s">
        <v>2344</v>
      </c>
      <c r="F1155" s="1">
        <v>14499</v>
      </c>
      <c r="G1155" s="1">
        <v>23559</v>
      </c>
      <c r="H1155" s="6">
        <v>38</v>
      </c>
      <c r="I1155">
        <v>4.3</v>
      </c>
      <c r="J1155" s="1">
        <v>2026</v>
      </c>
    </row>
    <row r="1156" spans="1:10">
      <c r="A1156" t="s">
        <v>2476</v>
      </c>
      <c r="B1156" t="s">
        <v>2477</v>
      </c>
      <c r="C1156" t="str">
        <f>LEFT(B1156,FIND(" ",B1156)-1)</f>
        <v>Esquire</v>
      </c>
      <c r="D1156" t="str">
        <f>TRIM(RIGHT(E1156,LEN(E1156)-FIND("@",SUBSTITUTE(E1156,"|","@",LEN(E1156)-LEN(SUBSTITUTE(E1156,"|",""))))))</f>
        <v>LaundryBaskets</v>
      </c>
      <c r="E1156" t="s">
        <v>2085</v>
      </c>
      <c r="F1156">
        <v>950</v>
      </c>
      <c r="G1156" s="1">
        <v>1599</v>
      </c>
      <c r="H1156" s="6">
        <v>41</v>
      </c>
      <c r="I1156">
        <v>4.3</v>
      </c>
      <c r="J1156" s="1">
        <v>5911</v>
      </c>
    </row>
    <row r="1157" spans="1:10">
      <c r="A1157" t="s">
        <v>2478</v>
      </c>
      <c r="B1157" t="s">
        <v>2479</v>
      </c>
      <c r="C1157" t="str">
        <f>LEFT(B1157,FIND(" ",B1157)-1)</f>
        <v>PHILIPS</v>
      </c>
      <c r="D1157" t="str">
        <f>TRIM(RIGHT(E1157,LEN(E1157)-FIND("@",SUBSTITUTE(E1157,"|","@",LEN(E1157)-LEN(SUBSTITUTE(E1157,"|",""))))))</f>
        <v>AirFryers</v>
      </c>
      <c r="E1157" t="s">
        <v>2082</v>
      </c>
      <c r="F1157" s="1">
        <v>7199</v>
      </c>
      <c r="G1157" s="1">
        <v>9995</v>
      </c>
      <c r="H1157" s="6">
        <v>28</v>
      </c>
      <c r="I1157">
        <v>4.4000000000000004</v>
      </c>
      <c r="J1157" s="1">
        <v>1964</v>
      </c>
    </row>
    <row r="1158" spans="1:10">
      <c r="A1158" t="s">
        <v>2480</v>
      </c>
      <c r="B1158" t="s">
        <v>2481</v>
      </c>
      <c r="C1158" t="str">
        <f>LEFT(B1158,FIND(" ",B1158)-1)</f>
        <v>Havells</v>
      </c>
      <c r="D1158" t="str">
        <f>TRIM(RIGHT(E1158,LEN(E1158)-FIND("@",SUBSTITUTE(E1158,"|","@",LEN(E1158)-LEN(SUBSTITUTE(E1158,"|",""))))))</f>
        <v>ElectricHeaters</v>
      </c>
      <c r="E1158" t="s">
        <v>2005</v>
      </c>
      <c r="F1158" s="1">
        <v>2439</v>
      </c>
      <c r="G1158" s="1">
        <v>2545</v>
      </c>
      <c r="H1158" s="6">
        <v>4</v>
      </c>
      <c r="I1158">
        <v>4.0999999999999996</v>
      </c>
      <c r="J1158">
        <v>25</v>
      </c>
    </row>
    <row r="1159" spans="1:10">
      <c r="A1159" t="s">
        <v>2482</v>
      </c>
      <c r="B1159" t="s">
        <v>2483</v>
      </c>
      <c r="C1159" t="str">
        <f>LEFT(B1159,FIND(" ",B1159)-1)</f>
        <v>Philips</v>
      </c>
      <c r="D1159" t="str">
        <f>TRIM(RIGHT(E1159,LEN(E1159)-FIND("@",SUBSTITUTE(E1159,"|","@",LEN(E1159)-LEN(SUBSTITUTE(E1159,"|",""))))))</f>
        <v>SteamIrons</v>
      </c>
      <c r="E1159" t="s">
        <v>2088</v>
      </c>
      <c r="F1159" s="1">
        <v>7799</v>
      </c>
      <c r="G1159" s="1">
        <v>8995</v>
      </c>
      <c r="H1159" s="6">
        <v>13</v>
      </c>
      <c r="I1159">
        <v>4</v>
      </c>
      <c r="J1159" s="1">
        <v>3160</v>
      </c>
    </row>
    <row r="1160" spans="1:10">
      <c r="A1160" t="s">
        <v>2484</v>
      </c>
      <c r="B1160" t="s">
        <v>2485</v>
      </c>
      <c r="C1160" t="str">
        <f>LEFT(B1160,FIND(" ",B1160)-1)</f>
        <v>Brayden</v>
      </c>
      <c r="D1160" t="str">
        <f>TRIM(RIGHT(E1160,LEN(E1160)-FIND("@",SUBSTITUTE(E1160,"|","@",LEN(E1160)-LEN(SUBSTITUTE(E1160,"|",""))))))</f>
        <v>MiniFoodProcessors&amp;Choppers</v>
      </c>
      <c r="E1160" t="s">
        <v>2151</v>
      </c>
      <c r="F1160" s="1">
        <v>1599</v>
      </c>
      <c r="G1160" s="1">
        <v>1999</v>
      </c>
      <c r="H1160" s="6">
        <v>2</v>
      </c>
      <c r="I1160">
        <v>4.4000000000000004</v>
      </c>
      <c r="J1160" s="1">
        <v>1558</v>
      </c>
    </row>
    <row r="1161" spans="1:10">
      <c r="A1161" t="s">
        <v>2486</v>
      </c>
      <c r="B1161" t="s">
        <v>2487</v>
      </c>
      <c r="C1161" t="str">
        <f>LEFT(B1161,FIND(" ",B1161)-1)</f>
        <v>Wonderchef</v>
      </c>
      <c r="D1161" t="str">
        <f>TRIM(RIGHT(E1161,LEN(E1161)-FIND("@",SUBSTITUTE(E1161,"|","@",LEN(E1161)-LEN(SUBSTITUTE(E1161,"|",""))))))</f>
        <v>MixerGrinders</v>
      </c>
      <c r="E1161" t="s">
        <v>2044</v>
      </c>
      <c r="F1161" s="1">
        <v>2899</v>
      </c>
      <c r="G1161" s="1">
        <v>5500</v>
      </c>
      <c r="H1161" s="6">
        <v>47</v>
      </c>
      <c r="I1161">
        <v>3.8</v>
      </c>
      <c r="J1161" s="1">
        <v>8958</v>
      </c>
    </row>
    <row r="1162" spans="1:10">
      <c r="A1162" t="s">
        <v>2488</v>
      </c>
      <c r="B1162" t="s">
        <v>2489</v>
      </c>
      <c r="C1162" t="str">
        <f>LEFT(B1162,FIND(" ",B1162)-1)</f>
        <v>Usha</v>
      </c>
      <c r="D1162" t="str">
        <f>TRIM(RIGHT(E1162,LEN(E1162)-FIND("@",SUBSTITUTE(E1162,"|","@",LEN(E1162)-LEN(SUBSTITUTE(E1162,"|",""))))))</f>
        <v>Sewing&amp;EmbroideryMachines</v>
      </c>
      <c r="E1162" t="s">
        <v>2383</v>
      </c>
      <c r="F1162" s="1">
        <v>9799</v>
      </c>
      <c r="G1162" s="1">
        <v>12150</v>
      </c>
      <c r="H1162" s="6">
        <v>19</v>
      </c>
      <c r="I1162">
        <v>4.3</v>
      </c>
      <c r="J1162" s="1">
        <v>13251</v>
      </c>
    </row>
    <row r="1163" spans="1:10">
      <c r="A1163" t="s">
        <v>2490</v>
      </c>
      <c r="B1163" t="s">
        <v>2491</v>
      </c>
      <c r="C1163" t="str">
        <f>LEFT(B1163,FIND(" ",B1163)-1)</f>
        <v>Black+Decker</v>
      </c>
      <c r="D1163" t="str">
        <f>TRIM(RIGHT(E1163,LEN(E1163)-FIND("@",SUBSTITUTE(E1163,"|","@",LEN(E1163)-LEN(SUBSTITUTE(E1163,"|",""))))))</f>
        <v>SteamIrons</v>
      </c>
      <c r="E1163" t="s">
        <v>2088</v>
      </c>
      <c r="F1163" s="1">
        <v>3299</v>
      </c>
      <c r="G1163" s="1">
        <v>4995</v>
      </c>
      <c r="H1163" s="6">
        <v>34</v>
      </c>
      <c r="I1163">
        <v>3.8</v>
      </c>
      <c r="J1163" s="1">
        <v>1393</v>
      </c>
    </row>
    <row r="1164" spans="1:10">
      <c r="A1164" t="s">
        <v>2492</v>
      </c>
      <c r="B1164" t="s">
        <v>2493</v>
      </c>
      <c r="C1164" t="str">
        <f>LEFT(B1164,FIND(" ",B1164)-1)</f>
        <v>Personal</v>
      </c>
      <c r="D1164" t="str">
        <f>TRIM(RIGHT(E1164,LEN(E1164)-FIND("@",SUBSTITUTE(E1164,"|","@",LEN(E1164)-LEN(SUBSTITUTE(E1164,"|",""))))))</f>
        <v>HandBlenders</v>
      </c>
      <c r="E1164" t="s">
        <v>2038</v>
      </c>
      <c r="F1164">
        <v>669</v>
      </c>
      <c r="G1164" s="1">
        <v>1499</v>
      </c>
      <c r="H1164" s="6">
        <v>55</v>
      </c>
      <c r="I1164">
        <v>2.2999999999999998</v>
      </c>
      <c r="J1164">
        <v>13</v>
      </c>
    </row>
    <row r="1165" spans="1:10">
      <c r="A1165" t="s">
        <v>2494</v>
      </c>
      <c r="B1165" t="s">
        <v>2495</v>
      </c>
      <c r="C1165" t="str">
        <f>LEFT(B1165,FIND(" ",B1165)-1)</f>
        <v>Sujata</v>
      </c>
      <c r="D1165" t="str">
        <f>TRIM(RIGHT(E1165,LEN(E1165)-FIND("@",SUBSTITUTE(E1165,"|","@",LEN(E1165)-LEN(SUBSTITUTE(E1165,"|",""))))))</f>
        <v>JuicerMixerGrinders</v>
      </c>
      <c r="E1165" t="s">
        <v>2097</v>
      </c>
      <c r="F1165" s="1">
        <v>5890</v>
      </c>
      <c r="G1165" s="1">
        <v>7506</v>
      </c>
      <c r="H1165" s="6">
        <v>22</v>
      </c>
      <c r="I1165">
        <v>4.5</v>
      </c>
      <c r="J1165" s="1">
        <v>7241</v>
      </c>
    </row>
    <row r="1166" spans="1:10">
      <c r="A1166" t="s">
        <v>2496</v>
      </c>
      <c r="B1166" t="s">
        <v>2497</v>
      </c>
      <c r="C1166" t="str">
        <f>LEFT(B1166,FIND(" ",B1166)-1)</f>
        <v>Sure</v>
      </c>
      <c r="D1166" t="str">
        <f>TRIM(RIGHT(E1166,LEN(E1166)-FIND("@",SUBSTITUTE(E1166,"|","@",LEN(E1166)-LEN(SUBSTITUTE(E1166,"|",""))))))</f>
        <v>WaterFilters&amp;Purifiers</v>
      </c>
      <c r="E1166" t="s">
        <v>2347</v>
      </c>
      <c r="F1166" s="1">
        <v>9199</v>
      </c>
      <c r="G1166" s="1">
        <v>18000</v>
      </c>
      <c r="H1166" s="6">
        <v>49</v>
      </c>
      <c r="I1166">
        <v>4</v>
      </c>
      <c r="J1166" s="1">
        <v>16020</v>
      </c>
    </row>
    <row r="1167" spans="1:10">
      <c r="A1167" t="s">
        <v>2498</v>
      </c>
      <c r="B1167" t="s">
        <v>2499</v>
      </c>
      <c r="C1167" t="str">
        <f>LEFT(B1167,FIND(" ",B1167)-1)</f>
        <v>PrettyKrafts</v>
      </c>
      <c r="D1167" t="str">
        <f>TRIM(RIGHT(E1167,LEN(E1167)-FIND("@",SUBSTITUTE(E1167,"|","@",LEN(E1167)-LEN(SUBSTITUTE(E1167,"|",""))))))</f>
        <v>LaundryBaskets</v>
      </c>
      <c r="E1167" t="s">
        <v>2085</v>
      </c>
      <c r="F1167">
        <v>351</v>
      </c>
      <c r="G1167" s="1">
        <v>1099</v>
      </c>
      <c r="H1167" s="6">
        <v>68</v>
      </c>
      <c r="I1167">
        <v>3.7</v>
      </c>
      <c r="J1167" s="1">
        <v>1470</v>
      </c>
    </row>
    <row r="1168" spans="1:10">
      <c r="A1168" t="s">
        <v>2500</v>
      </c>
      <c r="B1168" t="s">
        <v>2501</v>
      </c>
      <c r="C1168" t="str">
        <f>LEFT(B1168,FIND(" ",B1168)-1)</f>
        <v>Dr</v>
      </c>
      <c r="D1168" t="str">
        <f>TRIM(RIGHT(E1168,LEN(E1168)-FIND("@",SUBSTITUTE(E1168,"|","@",LEN(E1168)-LEN(SUBSTITUTE(E1168,"|",""))))))</f>
        <v>DigitalBathroomScales</v>
      </c>
      <c r="E1168" t="s">
        <v>2502</v>
      </c>
      <c r="F1168">
        <v>899</v>
      </c>
      <c r="G1168" s="1">
        <v>1900</v>
      </c>
      <c r="H1168" s="6">
        <v>53</v>
      </c>
      <c r="I1168">
        <v>4</v>
      </c>
      <c r="J1168" s="1">
        <v>3663</v>
      </c>
    </row>
    <row r="1169" spans="1:10">
      <c r="A1169" t="s">
        <v>2503</v>
      </c>
      <c r="B1169" t="s">
        <v>2504</v>
      </c>
      <c r="C1169" t="str">
        <f>LEFT(B1169,FIND(" ",B1169)-1)</f>
        <v>Tesora</v>
      </c>
      <c r="D1169" t="str">
        <f>TRIM(RIGHT(E1169,LEN(E1169)-FIND("@",SUBSTITUTE(E1169,"|","@",LEN(E1169)-LEN(SUBSTITUTE(E1169,"|",""))))))</f>
        <v>Kettle&amp;ToasterSets</v>
      </c>
      <c r="E1169" t="s">
        <v>2057</v>
      </c>
      <c r="F1169" s="1">
        <v>1349</v>
      </c>
      <c r="G1169" s="1">
        <v>1850</v>
      </c>
      <c r="H1169" s="6">
        <v>27</v>
      </c>
      <c r="I1169">
        <v>4.4000000000000004</v>
      </c>
      <c r="J1169">
        <v>638</v>
      </c>
    </row>
    <row r="1170" spans="1:10">
      <c r="A1170" t="s">
        <v>2505</v>
      </c>
      <c r="B1170" t="s">
        <v>2506</v>
      </c>
      <c r="C1170" t="str">
        <f>LEFT(B1170,FIND(" ",B1170)-1)</f>
        <v>AGARO</v>
      </c>
      <c r="D1170" t="str">
        <f>TRIM(RIGHT(E1170,LEN(E1170)-FIND("@",SUBSTITUTE(E1170,"|","@",LEN(E1170)-LEN(SUBSTITUTE(E1170,"|",""))))))</f>
        <v>Wet-DryVacuums</v>
      </c>
      <c r="E1170" t="s">
        <v>2315</v>
      </c>
      <c r="F1170" s="1">
        <v>6236</v>
      </c>
      <c r="G1170" s="1">
        <v>9999</v>
      </c>
      <c r="H1170" s="6">
        <v>38</v>
      </c>
      <c r="I1170">
        <v>4.0999999999999996</v>
      </c>
      <c r="J1170" s="1">
        <v>3552</v>
      </c>
    </row>
    <row r="1171" spans="1:10">
      <c r="A1171" t="s">
        <v>2507</v>
      </c>
      <c r="B1171" t="s">
        <v>2508</v>
      </c>
      <c r="C1171" t="str">
        <f>LEFT(B1171,FIND(" ",B1171)-1)</f>
        <v>INALSA</v>
      </c>
      <c r="D1171" t="str">
        <f>TRIM(RIGHT(E1171,LEN(E1171)-FIND("@",SUBSTITUTE(E1171,"|","@",LEN(E1171)-LEN(SUBSTITUTE(E1171,"|",""))))))</f>
        <v>HandBlenders</v>
      </c>
      <c r="E1171" t="s">
        <v>2038</v>
      </c>
      <c r="F1171" s="1">
        <v>2742</v>
      </c>
      <c r="G1171" s="1">
        <v>3995</v>
      </c>
      <c r="H1171" s="6">
        <v>31</v>
      </c>
      <c r="I1171">
        <v>4.4000000000000004</v>
      </c>
      <c r="J1171" s="1">
        <v>11148</v>
      </c>
    </row>
    <row r="1172" spans="1:10">
      <c r="A1172" t="s">
        <v>2509</v>
      </c>
      <c r="B1172" t="s">
        <v>2510</v>
      </c>
      <c r="C1172" t="str">
        <f>LEFT(B1172,FIND(" ",B1172)-1)</f>
        <v>akiara</v>
      </c>
      <c r="D1172" t="str">
        <f>TRIM(RIGHT(E1172,LEN(E1172)-FIND("@",SUBSTITUTE(E1172,"|","@",LEN(E1172)-LEN(SUBSTITUTE(E1172,"|",""))))))</f>
        <v>Sewing&amp;EmbroideryMachines</v>
      </c>
      <c r="E1172" t="s">
        <v>2383</v>
      </c>
      <c r="F1172">
        <v>721</v>
      </c>
      <c r="G1172" s="1">
        <v>1499</v>
      </c>
      <c r="H1172" s="6">
        <v>52</v>
      </c>
      <c r="I1172">
        <v>3.1</v>
      </c>
      <c r="J1172" s="1">
        <v>2449</v>
      </c>
    </row>
    <row r="1173" spans="1:10">
      <c r="A1173" t="s">
        <v>2511</v>
      </c>
      <c r="B1173" t="s">
        <v>2512</v>
      </c>
      <c r="C1173" t="str">
        <f>LEFT(B1173,FIND(" ",B1173)-1)</f>
        <v>Philips</v>
      </c>
      <c r="D1173" t="str">
        <f>TRIM(RIGHT(E1173,LEN(E1173)-FIND("@",SUBSTITUTE(E1173,"|","@",LEN(E1173)-LEN(SUBSTITUTE(E1173,"|",""))))))</f>
        <v>SteamIrons</v>
      </c>
      <c r="E1173" t="s">
        <v>2088</v>
      </c>
      <c r="F1173" s="1">
        <v>2903</v>
      </c>
      <c r="G1173" s="1">
        <v>3295</v>
      </c>
      <c r="H1173" s="6">
        <v>12</v>
      </c>
      <c r="I1173">
        <v>4.3</v>
      </c>
      <c r="J1173" s="1">
        <v>2299</v>
      </c>
    </row>
    <row r="1174" spans="1:10">
      <c r="A1174" t="s">
        <v>2513</v>
      </c>
      <c r="B1174" t="s">
        <v>2514</v>
      </c>
      <c r="C1174" t="str">
        <f>LEFT(B1174,FIND(" ",B1174)-1)</f>
        <v>INALSA</v>
      </c>
      <c r="D1174" t="str">
        <f>TRIM(RIGHT(E1174,LEN(E1174)-FIND("@",SUBSTITUTE(E1174,"|","@",LEN(E1174)-LEN(SUBSTITUTE(E1174,"|",""))))))</f>
        <v>MiniFoodProcessors&amp;Choppers</v>
      </c>
      <c r="E1174" t="s">
        <v>2151</v>
      </c>
      <c r="F1174" s="1">
        <v>1656</v>
      </c>
      <c r="G1174" s="1">
        <v>2695</v>
      </c>
      <c r="H1174" s="6">
        <v>39</v>
      </c>
      <c r="I1174">
        <v>4.4000000000000004</v>
      </c>
      <c r="J1174" s="1">
        <v>6027</v>
      </c>
    </row>
    <row r="1175" spans="1:10">
      <c r="A1175" t="s">
        <v>2515</v>
      </c>
      <c r="B1175" t="s">
        <v>2516</v>
      </c>
      <c r="C1175" t="str">
        <f>LEFT(B1175,FIND(" ",B1175)-1)</f>
        <v>Borosil</v>
      </c>
      <c r="D1175" t="str">
        <f>TRIM(RIGHT(E1175,LEN(E1175)-FIND("@",SUBSTITUTE(E1175,"|","@",LEN(E1175)-LEN(SUBSTITUTE(E1175,"|",""))))))</f>
        <v>EggBoilers</v>
      </c>
      <c r="E1175" t="s">
        <v>2117</v>
      </c>
      <c r="F1175" s="1">
        <v>1399</v>
      </c>
      <c r="G1175" s="1">
        <v>2290</v>
      </c>
      <c r="H1175" s="6">
        <v>39</v>
      </c>
      <c r="I1175">
        <v>4.4000000000000004</v>
      </c>
      <c r="J1175">
        <v>461</v>
      </c>
    </row>
    <row r="1176" spans="1:10">
      <c r="A1176" t="s">
        <v>2517</v>
      </c>
      <c r="B1176" t="s">
        <v>2518</v>
      </c>
      <c r="C1176" t="str">
        <f>LEFT(B1176,FIND(" ",B1176)-1)</f>
        <v>Wipro</v>
      </c>
      <c r="D1176" t="str">
        <f>TRIM(RIGHT(E1176,LEN(E1176)-FIND("@",SUBSTITUTE(E1176,"|","@",LEN(E1176)-LEN(SUBSTITUTE(E1176,"|",""))))))</f>
        <v>SandwichMakers</v>
      </c>
      <c r="E1176" t="s">
        <v>2124</v>
      </c>
      <c r="F1176" s="1">
        <v>2079</v>
      </c>
      <c r="G1176" s="1">
        <v>3099</v>
      </c>
      <c r="H1176" s="6">
        <v>33</v>
      </c>
      <c r="I1176">
        <v>4.0999999999999996</v>
      </c>
      <c r="J1176">
        <v>282</v>
      </c>
    </row>
    <row r="1177" spans="1:10">
      <c r="A1177" t="s">
        <v>2519</v>
      </c>
      <c r="B1177" t="s">
        <v>2520</v>
      </c>
      <c r="C1177" t="str">
        <f>LEFT(B1177,FIND(" ",B1177)-1)</f>
        <v>Rico</v>
      </c>
      <c r="D1177" t="str">
        <f>TRIM(RIGHT(E1177,LEN(E1177)-FIND("@",SUBSTITUTE(E1177,"|","@",LEN(E1177)-LEN(SUBSTITUTE(E1177,"|",""))))))</f>
        <v>ImmersionRods</v>
      </c>
      <c r="E1177" t="s">
        <v>2075</v>
      </c>
      <c r="F1177">
        <v>999</v>
      </c>
      <c r="G1177" s="1">
        <v>1075</v>
      </c>
      <c r="H1177" s="6">
        <v>7</v>
      </c>
      <c r="I1177">
        <v>4.0999999999999996</v>
      </c>
      <c r="J1177" s="1">
        <v>9275</v>
      </c>
    </row>
    <row r="1178" spans="1:10">
      <c r="A1178" t="s">
        <v>2521</v>
      </c>
      <c r="B1178" t="s">
        <v>2522</v>
      </c>
      <c r="C1178" t="str">
        <f>LEFT(B1178,FIND(" ",B1178)-1)</f>
        <v>Eureka</v>
      </c>
      <c r="D1178" t="str">
        <f>TRIM(RIGHT(E1178,LEN(E1178)-FIND("@",SUBSTITUTE(E1178,"|","@",LEN(E1178)-LEN(SUBSTITUTE(E1178,"|",""))))))</f>
        <v>HandheldVacuums</v>
      </c>
      <c r="E1178" t="s">
        <v>2104</v>
      </c>
      <c r="F1178" s="1">
        <v>3179</v>
      </c>
      <c r="G1178" s="1">
        <v>6999</v>
      </c>
      <c r="H1178" s="6">
        <v>55</v>
      </c>
      <c r="I1178">
        <v>4</v>
      </c>
      <c r="J1178">
        <v>743</v>
      </c>
    </row>
    <row r="1179" spans="1:10">
      <c r="A1179" t="s">
        <v>2523</v>
      </c>
      <c r="B1179" t="s">
        <v>2524</v>
      </c>
      <c r="C1179" t="str">
        <f>LEFT(B1179,FIND(" ",B1179)-1)</f>
        <v>CSI</v>
      </c>
      <c r="D1179" t="str">
        <f>TRIM(RIGHT(E1179,LEN(E1179)-FIND("@",SUBSTITUTE(E1179,"|","@",LEN(E1179)-LEN(SUBSTITUTE(E1179,"|",""))))))</f>
        <v>InstantWaterHeaters</v>
      </c>
      <c r="E1179" t="s">
        <v>2047</v>
      </c>
      <c r="F1179" s="1">
        <v>1049</v>
      </c>
      <c r="G1179" s="1">
        <v>2499</v>
      </c>
      <c r="H1179" s="6">
        <v>58</v>
      </c>
      <c r="I1179">
        <v>3.6</v>
      </c>
      <c r="J1179">
        <v>328</v>
      </c>
    </row>
    <row r="1180" spans="1:10">
      <c r="A1180" t="s">
        <v>2525</v>
      </c>
      <c r="B1180" t="s">
        <v>2526</v>
      </c>
      <c r="C1180" t="str">
        <f>LEFT(B1180,FIND(" ",B1180)-1)</f>
        <v>Hindware</v>
      </c>
      <c r="D1180" t="str">
        <f>TRIM(RIGHT(E1180,LEN(E1180)-FIND("@",SUBSTITUTE(E1180,"|","@",LEN(E1180)-LEN(SUBSTITUTE(E1180,"|",""))))))</f>
        <v>InstantWaterHeaters</v>
      </c>
      <c r="E1180" t="s">
        <v>2047</v>
      </c>
      <c r="F1180" s="1">
        <v>3599</v>
      </c>
      <c r="G1180" s="1">
        <v>7290</v>
      </c>
      <c r="H1180" s="6">
        <v>51</v>
      </c>
      <c r="I1180">
        <v>3.9</v>
      </c>
      <c r="J1180">
        <v>942</v>
      </c>
    </row>
    <row r="1181" spans="1:10">
      <c r="A1181" t="s">
        <v>2527</v>
      </c>
      <c r="B1181" t="s">
        <v>2528</v>
      </c>
      <c r="C1181" t="str">
        <f>LEFT(B1181,FIND(" ",B1181)-1)</f>
        <v>Morphy</v>
      </c>
      <c r="D1181" t="str">
        <f>TRIM(RIGHT(E1181,LEN(E1181)-FIND("@",SUBSTITUTE(E1181,"|","@",LEN(E1181)-LEN(SUBSTITUTE(E1181,"|",""))))))</f>
        <v>EspressoMachines</v>
      </c>
      <c r="E1181" t="s">
        <v>2529</v>
      </c>
      <c r="F1181" s="1">
        <v>4799</v>
      </c>
      <c r="G1181" s="1">
        <v>5795</v>
      </c>
      <c r="H1181" s="6">
        <v>17</v>
      </c>
      <c r="I1181">
        <v>3.9</v>
      </c>
      <c r="J1181" s="1">
        <v>3815</v>
      </c>
    </row>
    <row r="1182" spans="1:10">
      <c r="A1182" t="s">
        <v>2530</v>
      </c>
      <c r="B1182" t="s">
        <v>2531</v>
      </c>
      <c r="C1182" t="str">
        <f>LEFT(B1182,FIND(" ",B1182)-1)</f>
        <v>Lifelong</v>
      </c>
      <c r="D1182" t="str">
        <f>TRIM(RIGHT(E1182,LEN(E1182)-FIND("@",SUBSTITUTE(E1182,"|","@",LEN(E1182)-LEN(SUBSTITUTE(E1182,"|",""))))))</f>
        <v>MixerGrinders</v>
      </c>
      <c r="E1182" t="s">
        <v>2044</v>
      </c>
      <c r="F1182" s="1">
        <v>1699</v>
      </c>
      <c r="G1182" s="1">
        <v>3398</v>
      </c>
      <c r="H1182" s="6">
        <v>5</v>
      </c>
      <c r="I1182">
        <v>3.8</v>
      </c>
      <c r="J1182" s="1">
        <v>7988</v>
      </c>
    </row>
    <row r="1183" spans="1:10">
      <c r="A1183" t="s">
        <v>2532</v>
      </c>
      <c r="B1183" t="s">
        <v>2533</v>
      </c>
      <c r="C1183" t="str">
        <f>LEFT(B1183,FIND(" ",B1183)-1)</f>
        <v>iBELL</v>
      </c>
      <c r="D1183" t="str">
        <f>TRIM(RIGHT(E1183,LEN(E1183)-FIND("@",SUBSTITUTE(E1183,"|","@",LEN(E1183)-LEN(SUBSTITUTE(E1183,"|",""))))))</f>
        <v>Kettle&amp;ToasterSets</v>
      </c>
      <c r="E1183" t="s">
        <v>2057</v>
      </c>
      <c r="F1183">
        <v>664</v>
      </c>
      <c r="G1183" s="1">
        <v>1490</v>
      </c>
      <c r="H1183" s="6">
        <v>55</v>
      </c>
      <c r="I1183">
        <v>4.0999999999999996</v>
      </c>
      <c r="J1183">
        <v>925</v>
      </c>
    </row>
    <row r="1184" spans="1:10">
      <c r="A1184" t="s">
        <v>2534</v>
      </c>
      <c r="B1184" t="s">
        <v>2535</v>
      </c>
      <c r="C1184" t="str">
        <f>LEFT(B1184,FIND(" ",B1184)-1)</f>
        <v>BAJAJ</v>
      </c>
      <c r="D1184" t="str">
        <f>TRIM(RIGHT(E1184,LEN(E1184)-FIND("@",SUBSTITUTE(E1184,"|","@",LEN(E1184)-LEN(SUBSTITUTE(E1184,"|",""))))))</f>
        <v>TableFans</v>
      </c>
      <c r="E1184" t="s">
        <v>2536</v>
      </c>
      <c r="F1184">
        <v>948</v>
      </c>
      <c r="G1184" s="1">
        <v>1620</v>
      </c>
      <c r="H1184" s="6">
        <v>41</v>
      </c>
      <c r="I1184">
        <v>4.0999999999999996</v>
      </c>
      <c r="J1184" s="1">
        <v>4370</v>
      </c>
    </row>
    <row r="1185" spans="1:10">
      <c r="A1185" t="s">
        <v>2537</v>
      </c>
      <c r="B1185" t="s">
        <v>2538</v>
      </c>
      <c r="C1185" t="str">
        <f>LEFT(B1185,FIND(" ",B1185)-1)</f>
        <v>Crompton</v>
      </c>
      <c r="D1185" t="str">
        <f>TRIM(RIGHT(E1185,LEN(E1185)-FIND("@",SUBSTITUTE(E1185,"|","@",LEN(E1185)-LEN(SUBSTITUTE(E1185,"|",""))))))</f>
        <v>DryIrons</v>
      </c>
      <c r="E1185" t="s">
        <v>2041</v>
      </c>
      <c r="F1185">
        <v>850</v>
      </c>
      <c r="G1185" s="1">
        <v>1000</v>
      </c>
      <c r="H1185" s="6">
        <v>15</v>
      </c>
      <c r="I1185">
        <v>4.0999999999999996</v>
      </c>
      <c r="J1185" s="1">
        <v>7619</v>
      </c>
    </row>
    <row r="1186" spans="1:10">
      <c r="A1186" t="s">
        <v>2539</v>
      </c>
      <c r="B1186" t="s">
        <v>2540</v>
      </c>
      <c r="C1186" t="str">
        <f>LEFT(B1186,FIND(" ",B1186)-1)</f>
        <v>Prestige</v>
      </c>
      <c r="D1186" t="str">
        <f>TRIM(RIGHT(E1186,LEN(E1186)-FIND("@",SUBSTITUTE(E1186,"|","@",LEN(E1186)-LEN(SUBSTITUTE(E1186,"|",""))))))</f>
        <v>WaterCartridges</v>
      </c>
      <c r="E1186" t="s">
        <v>2252</v>
      </c>
      <c r="F1186">
        <v>600</v>
      </c>
      <c r="G1186">
        <v>640</v>
      </c>
      <c r="H1186" s="6">
        <v>6</v>
      </c>
      <c r="I1186">
        <v>3.8</v>
      </c>
      <c r="J1186" s="1">
        <v>2593</v>
      </c>
    </row>
    <row r="1187" spans="1:10">
      <c r="A1187" t="s">
        <v>2541</v>
      </c>
      <c r="B1187" t="s">
        <v>2542</v>
      </c>
      <c r="C1187" t="str">
        <f>LEFT(B1187,FIND(" ",B1187)-1)</f>
        <v>Morphy</v>
      </c>
      <c r="D1187" t="str">
        <f>TRIM(RIGHT(E1187,LEN(E1187)-FIND("@",SUBSTITUTE(E1187,"|","@",LEN(E1187)-LEN(SUBSTITUTE(E1187,"|",""))))))</f>
        <v>ElectricHeaters</v>
      </c>
      <c r="E1187" t="s">
        <v>2005</v>
      </c>
      <c r="F1187" s="1">
        <v>3711</v>
      </c>
      <c r="G1187" s="1">
        <v>4495</v>
      </c>
      <c r="H1187" s="6">
        <v>17</v>
      </c>
      <c r="I1187">
        <v>4.3</v>
      </c>
      <c r="J1187">
        <v>356</v>
      </c>
    </row>
    <row r="1188" spans="1:10">
      <c r="A1188" t="s">
        <v>2543</v>
      </c>
      <c r="B1188" t="s">
        <v>2544</v>
      </c>
      <c r="C1188" t="str">
        <f>LEFT(B1188,FIND(" ",B1188)-1)</f>
        <v>Gadgetronics</v>
      </c>
      <c r="D1188" t="str">
        <f>TRIM(RIGHT(E1188,LEN(E1188)-FIND("@",SUBSTITUTE(E1188,"|","@",LEN(E1188)-LEN(SUBSTITUTE(E1188,"|",""))))))</f>
        <v>DigitalKitchenScales</v>
      </c>
      <c r="E1188" t="s">
        <v>2014</v>
      </c>
      <c r="F1188">
        <v>799</v>
      </c>
      <c r="G1188" s="1">
        <v>2999</v>
      </c>
      <c r="H1188" s="6">
        <v>73</v>
      </c>
      <c r="I1188">
        <v>4.5</v>
      </c>
      <c r="J1188">
        <v>63</v>
      </c>
    </row>
    <row r="1189" spans="1:10">
      <c r="A1189" t="s">
        <v>2545</v>
      </c>
      <c r="B1189" t="s">
        <v>2546</v>
      </c>
      <c r="C1189" t="str">
        <f>LEFT(B1189,FIND(" ",B1189)-1)</f>
        <v>HUL</v>
      </c>
      <c r="D1189" t="str">
        <f>TRIM(RIGHT(E1189,LEN(E1189)-FIND("@",SUBSTITUTE(E1189,"|","@",LEN(E1189)-LEN(SUBSTITUTE(E1189,"|",""))))))</f>
        <v>WaterPurifierAccessories</v>
      </c>
      <c r="E1189" t="s">
        <v>2249</v>
      </c>
      <c r="F1189">
        <v>980</v>
      </c>
      <c r="G1189">
        <v>980</v>
      </c>
      <c r="H1189" s="6">
        <v>0</v>
      </c>
      <c r="I1189">
        <v>4.2</v>
      </c>
      <c r="J1189" s="1">
        <v>4740</v>
      </c>
    </row>
    <row r="1190" spans="1:10">
      <c r="A1190" t="s">
        <v>2547</v>
      </c>
      <c r="B1190" t="s">
        <v>2548</v>
      </c>
      <c r="C1190" t="str">
        <f>LEFT(B1190,FIND(" ",B1190)-1)</f>
        <v>Tom</v>
      </c>
      <c r="D1190" t="str">
        <f>TRIM(RIGHT(E1190,LEN(E1190)-FIND("@",SUBSTITUTE(E1190,"|","@",LEN(E1190)-LEN(SUBSTITUTE(E1190,"|",""))))))</f>
        <v>LaundryBaskets</v>
      </c>
      <c r="E1190" t="s">
        <v>2085</v>
      </c>
      <c r="F1190">
        <v>351</v>
      </c>
      <c r="G1190">
        <v>899</v>
      </c>
      <c r="H1190" s="6">
        <v>61</v>
      </c>
      <c r="I1190">
        <v>3.9</v>
      </c>
      <c r="J1190">
        <v>296</v>
      </c>
    </row>
    <row r="1191" spans="1:10">
      <c r="A1191" t="s">
        <v>2549</v>
      </c>
      <c r="B1191" t="s">
        <v>2550</v>
      </c>
      <c r="C1191" t="str">
        <f>LEFT(B1191,FIND(" ",B1191)-1)</f>
        <v>Ikea</v>
      </c>
      <c r="D1191" t="str">
        <f>TRIM(RIGHT(E1191,LEN(E1191)-FIND("@",SUBSTITUTE(E1191,"|","@",LEN(E1191)-LEN(SUBSTITUTE(E1191,"|",""))))))</f>
        <v>MilkFrothers</v>
      </c>
      <c r="E1191" t="s">
        <v>2551</v>
      </c>
      <c r="F1191">
        <v>229</v>
      </c>
      <c r="G1191">
        <v>499</v>
      </c>
      <c r="H1191" s="6">
        <v>54</v>
      </c>
      <c r="I1191">
        <v>3.5</v>
      </c>
      <c r="J1191">
        <v>185</v>
      </c>
    </row>
    <row r="1192" spans="1:10">
      <c r="A1192" t="s">
        <v>2552</v>
      </c>
      <c r="B1192" t="s">
        <v>2553</v>
      </c>
      <c r="C1192" t="str">
        <f>LEFT(B1192,FIND(" ",B1192)-1)</f>
        <v>Philips</v>
      </c>
      <c r="D1192" t="str">
        <f>TRIM(RIGHT(E1192,LEN(E1192)-FIND("@",SUBSTITUTE(E1192,"|","@",LEN(E1192)-LEN(SUBSTITUTE(E1192,"|",""))))))</f>
        <v>SteamIrons</v>
      </c>
      <c r="E1192" t="s">
        <v>2088</v>
      </c>
      <c r="F1192" s="1">
        <v>3349</v>
      </c>
      <c r="G1192" s="1">
        <v>3995</v>
      </c>
      <c r="H1192" s="6">
        <v>16</v>
      </c>
      <c r="I1192">
        <v>4.3</v>
      </c>
      <c r="J1192" s="1">
        <v>1954</v>
      </c>
    </row>
    <row r="1193" spans="1:10">
      <c r="A1193" t="s">
        <v>2554</v>
      </c>
      <c r="B1193" t="s">
        <v>2555</v>
      </c>
      <c r="C1193" t="str">
        <f>LEFT(B1193,FIND(" ",B1193)-1)</f>
        <v>Bajaj</v>
      </c>
      <c r="D1193" t="str">
        <f>TRIM(RIGHT(E1193,LEN(E1193)-FIND("@",SUBSTITUTE(E1193,"|","@",LEN(E1193)-LEN(SUBSTITUTE(E1193,"|",""))))))</f>
        <v>StorageWaterHeaters</v>
      </c>
      <c r="E1193" t="s">
        <v>2060</v>
      </c>
      <c r="F1193" s="1">
        <v>5499</v>
      </c>
      <c r="G1193" s="1">
        <v>11500</v>
      </c>
      <c r="H1193" s="6">
        <v>52</v>
      </c>
      <c r="I1193">
        <v>3.9</v>
      </c>
      <c r="J1193">
        <v>959</v>
      </c>
    </row>
    <row r="1194" spans="1:10">
      <c r="A1194" t="s">
        <v>2556</v>
      </c>
      <c r="B1194" t="s">
        <v>2557</v>
      </c>
      <c r="C1194" t="str">
        <f>LEFT(B1194,FIND(" ",B1194)-1)</f>
        <v>House</v>
      </c>
      <c r="D1194" t="str">
        <f>TRIM(RIGHT(E1194,LEN(E1194)-FIND("@",SUBSTITUTE(E1194,"|","@",LEN(E1194)-LEN(SUBSTITUTE(E1194,"|",""))))))</f>
        <v>LintShavers</v>
      </c>
      <c r="E1194" t="s">
        <v>2011</v>
      </c>
      <c r="F1194">
        <v>299</v>
      </c>
      <c r="G1194">
        <v>499</v>
      </c>
      <c r="H1194" s="6">
        <v>4</v>
      </c>
      <c r="I1194">
        <v>3.9</v>
      </c>
      <c r="J1194" s="1">
        <v>1015</v>
      </c>
    </row>
    <row r="1195" spans="1:10">
      <c r="A1195" t="s">
        <v>2558</v>
      </c>
      <c r="B1195" t="s">
        <v>2559</v>
      </c>
      <c r="C1195" t="str">
        <f>LEFT(B1195,FIND(" ",B1195)-1)</f>
        <v>Allin</v>
      </c>
      <c r="D1195" t="str">
        <f>TRIM(RIGHT(E1195,LEN(E1195)-FIND("@",SUBSTITUTE(E1195,"|","@",LEN(E1195)-LEN(SUBSTITUTE(E1195,"|",""))))))</f>
        <v>Humidifiers</v>
      </c>
      <c r="E1195" t="s">
        <v>2560</v>
      </c>
      <c r="F1195" s="1">
        <v>2249</v>
      </c>
      <c r="G1195" s="1">
        <v>3550</v>
      </c>
      <c r="H1195" s="6">
        <v>37</v>
      </c>
      <c r="I1195">
        <v>4</v>
      </c>
      <c r="J1195" s="1">
        <v>3973</v>
      </c>
    </row>
    <row r="1196" spans="1:10">
      <c r="A1196" t="s">
        <v>2561</v>
      </c>
      <c r="B1196" t="s">
        <v>2562</v>
      </c>
      <c r="C1196" t="str">
        <f>LEFT(B1196,FIND(" ",B1196)-1)</f>
        <v>Multifunctional</v>
      </c>
      <c r="D1196" t="str">
        <f>TRIM(RIGHT(E1196,LEN(E1196)-FIND("@",SUBSTITUTE(E1196,"|","@",LEN(E1196)-LEN(SUBSTITUTE(E1196,"|",""))))))</f>
        <v>EggBoilers</v>
      </c>
      <c r="E1196" t="s">
        <v>2117</v>
      </c>
      <c r="F1196">
        <v>699</v>
      </c>
      <c r="G1196" s="1">
        <v>1599</v>
      </c>
      <c r="H1196" s="6">
        <v>56</v>
      </c>
      <c r="I1196">
        <v>4.7</v>
      </c>
      <c r="J1196" s="1">
        <v>2300</v>
      </c>
    </row>
    <row r="1197" spans="1:10">
      <c r="A1197" t="s">
        <v>2563</v>
      </c>
      <c r="B1197" t="s">
        <v>2564</v>
      </c>
      <c r="C1197" t="str">
        <f>LEFT(B1197,FIND(" ",B1197)-1)</f>
        <v>Maharaja</v>
      </c>
      <c r="D1197" t="str">
        <f>TRIM(RIGHT(E1197,LEN(E1197)-FIND("@",SUBSTITUTE(E1197,"|","@",LEN(E1197)-LEN(SUBSTITUTE(E1197,"|",""))))))</f>
        <v>ElectricHeaters</v>
      </c>
      <c r="E1197" t="s">
        <v>2005</v>
      </c>
      <c r="F1197" s="1">
        <v>1235</v>
      </c>
      <c r="G1197" s="1">
        <v>1499</v>
      </c>
      <c r="H1197" s="6">
        <v>18</v>
      </c>
      <c r="I1197">
        <v>4.0999999999999996</v>
      </c>
      <c r="J1197">
        <v>203</v>
      </c>
    </row>
    <row r="1198" spans="1:10">
      <c r="A1198" t="s">
        <v>2565</v>
      </c>
      <c r="B1198" t="s">
        <v>2566</v>
      </c>
      <c r="C1198" t="str">
        <f>LEFT(B1198,FIND(" ",B1198)-1)</f>
        <v>KENT</v>
      </c>
      <c r="D1198" t="str">
        <f>TRIM(RIGHT(E1198,LEN(E1198)-FIND("@",SUBSTITUTE(E1198,"|","@",LEN(E1198)-LEN(SUBSTITUTE(E1198,"|",""))))))</f>
        <v>MiniFoodProcessors&amp;Choppers</v>
      </c>
      <c r="E1198" t="s">
        <v>2151</v>
      </c>
      <c r="F1198" s="1">
        <v>1349</v>
      </c>
      <c r="G1198" s="1">
        <v>2999</v>
      </c>
      <c r="H1198" s="6">
        <v>55</v>
      </c>
      <c r="I1198">
        <v>3.8</v>
      </c>
      <c r="J1198">
        <v>441</v>
      </c>
    </row>
    <row r="1199" spans="1:10">
      <c r="A1199" t="s">
        <v>2567</v>
      </c>
      <c r="B1199" t="s">
        <v>2568</v>
      </c>
      <c r="C1199" t="str">
        <f>LEFT(B1199,FIND(" ",B1199)-1)</f>
        <v>Crompton</v>
      </c>
      <c r="D1199" t="str">
        <f>TRIM(RIGHT(E1199,LEN(E1199)-FIND("@",SUBSTITUTE(E1199,"|","@",LEN(E1199)-LEN(SUBSTITUTE(E1199,"|",""))))))</f>
        <v>StorageWaterHeaters</v>
      </c>
      <c r="E1199" t="s">
        <v>2060</v>
      </c>
      <c r="F1199" s="1">
        <v>6800</v>
      </c>
      <c r="G1199" s="1">
        <v>11500</v>
      </c>
      <c r="H1199" s="6">
        <v>41</v>
      </c>
      <c r="I1199">
        <v>4.0999999999999996</v>
      </c>
      <c r="J1199" s="1">
        <v>10308</v>
      </c>
    </row>
    <row r="1200" spans="1:10">
      <c r="A1200" t="s">
        <v>2569</v>
      </c>
      <c r="B1200" t="s">
        <v>2570</v>
      </c>
      <c r="C1200" t="str">
        <f>LEFT(B1200,FIND(" ",B1200)-1)</f>
        <v>Eureka</v>
      </c>
      <c r="D1200" t="str">
        <f>TRIM(RIGHT(E1200,LEN(E1200)-FIND("@",SUBSTITUTE(E1200,"|","@",LEN(E1200)-LEN(SUBSTITUTE(E1200,"|",""))))))</f>
        <v>HandheldVacuums</v>
      </c>
      <c r="E1200" t="s">
        <v>2104</v>
      </c>
      <c r="F1200" s="1">
        <v>2099</v>
      </c>
      <c r="G1200" s="1">
        <v>2499</v>
      </c>
      <c r="H1200" s="6">
        <v>16</v>
      </c>
      <c r="I1200" t="s">
        <v>2571</v>
      </c>
      <c r="J1200">
        <v>992</v>
      </c>
    </row>
    <row r="1201" spans="1:10">
      <c r="A1201" t="s">
        <v>2572</v>
      </c>
      <c r="B1201" t="s">
        <v>2573</v>
      </c>
      <c r="C1201" t="str">
        <f>LEFT(B1201,FIND(" ",B1201)-1)</f>
        <v>KENT</v>
      </c>
      <c r="D1201" t="str">
        <f>TRIM(RIGHT(E1201,LEN(E1201)-FIND("@",SUBSTITUTE(E1201,"|","@",LEN(E1201)-LEN(SUBSTITUTE(E1201,"|",""))))))</f>
        <v>SandwichMakers</v>
      </c>
      <c r="E1201" t="s">
        <v>2124</v>
      </c>
      <c r="F1201" s="1">
        <v>1699</v>
      </c>
      <c r="G1201" s="1">
        <v>1975</v>
      </c>
      <c r="H1201" s="6">
        <v>14</v>
      </c>
      <c r="I1201">
        <v>4.0999999999999996</v>
      </c>
      <c r="J1201" s="1">
        <v>4716</v>
      </c>
    </row>
    <row r="1202" spans="1:10">
      <c r="A1202" t="s">
        <v>2574</v>
      </c>
      <c r="B1202" t="s">
        <v>2575</v>
      </c>
      <c r="C1202" t="str">
        <f>LEFT(B1202,FIND(" ",B1202)-1)</f>
        <v>Candes</v>
      </c>
      <c r="D1202" t="str">
        <f>TRIM(RIGHT(E1202,LEN(E1202)-FIND("@",SUBSTITUTE(E1202,"|","@",LEN(E1202)-LEN(SUBSTITUTE(E1202,"|",""))))))</f>
        <v>FanHeaters</v>
      </c>
      <c r="E1202" t="s">
        <v>2008</v>
      </c>
      <c r="F1202" s="1">
        <v>1069</v>
      </c>
      <c r="G1202" s="1">
        <v>1699</v>
      </c>
      <c r="H1202" s="6">
        <v>37</v>
      </c>
      <c r="I1202">
        <v>3.9</v>
      </c>
      <c r="J1202">
        <v>313</v>
      </c>
    </row>
    <row r="1203" spans="1:10">
      <c r="A1203" t="s">
        <v>2576</v>
      </c>
      <c r="B1203" t="s">
        <v>2577</v>
      </c>
      <c r="C1203" t="str">
        <f>LEFT(B1203,FIND(" ",B1203)-1)</f>
        <v>Inalsa</v>
      </c>
      <c r="D1203" t="str">
        <f>TRIM(RIGHT(E1203,LEN(E1203)-FIND("@",SUBSTITUTE(E1203,"|","@",LEN(E1203)-LEN(SUBSTITUTE(E1203,"|",""))))))</f>
        <v>FanHeaters</v>
      </c>
      <c r="E1203" t="s">
        <v>2008</v>
      </c>
      <c r="F1203" s="1">
        <v>1349</v>
      </c>
      <c r="G1203" s="1">
        <v>2495</v>
      </c>
      <c r="H1203" s="6">
        <v>46</v>
      </c>
      <c r="I1203">
        <v>3.8</v>
      </c>
      <c r="J1203">
        <v>166</v>
      </c>
    </row>
    <row r="1204" spans="1:10">
      <c r="A1204" t="s">
        <v>2578</v>
      </c>
      <c r="B1204" t="s">
        <v>2579</v>
      </c>
      <c r="C1204" t="str">
        <f>LEFT(B1204,FIND(" ",B1204)-1)</f>
        <v>Havells</v>
      </c>
      <c r="D1204" t="str">
        <f>TRIM(RIGHT(E1204,LEN(E1204)-FIND("@",SUBSTITUTE(E1204,"|","@",LEN(E1204)-LEN(SUBSTITUTE(E1204,"|",""))))))</f>
        <v>ImmersionRods</v>
      </c>
      <c r="E1204" t="s">
        <v>2075</v>
      </c>
      <c r="F1204" s="1">
        <v>1499</v>
      </c>
      <c r="G1204" s="1">
        <v>3500</v>
      </c>
      <c r="H1204" s="6">
        <v>57</v>
      </c>
      <c r="I1204">
        <v>4.0999999999999996</v>
      </c>
      <c r="J1204">
        <v>303</v>
      </c>
    </row>
    <row r="1205" spans="1:10">
      <c r="A1205" t="s">
        <v>2580</v>
      </c>
      <c r="B1205" t="s">
        <v>2581</v>
      </c>
      <c r="C1205" t="str">
        <f>LEFT(B1205,FIND(" ",B1205)-1)</f>
        <v>iBELL</v>
      </c>
      <c r="D1205" t="str">
        <f>TRIM(RIGHT(E1205,LEN(E1205)-FIND("@",SUBSTITUTE(E1205,"|","@",LEN(E1205)-LEN(SUBSTITUTE(E1205,"|",""))))))</f>
        <v>SandwichMakers</v>
      </c>
      <c r="E1205" t="s">
        <v>2124</v>
      </c>
      <c r="F1205" s="1">
        <v>2092</v>
      </c>
      <c r="G1205" s="1">
        <v>4600</v>
      </c>
      <c r="H1205" s="6">
        <v>55</v>
      </c>
      <c r="I1205">
        <v>4.3</v>
      </c>
      <c r="J1205">
        <v>562</v>
      </c>
    </row>
    <row r="1206" spans="1:10">
      <c r="A1206" t="s">
        <v>2582</v>
      </c>
      <c r="B1206" t="s">
        <v>2583</v>
      </c>
      <c r="C1206" t="str">
        <f>LEFT(B1206,FIND(" ",B1206)-1)</f>
        <v>Inalsa</v>
      </c>
      <c r="D1206" t="str">
        <f>TRIM(RIGHT(E1206,LEN(E1206)-FIND("@",SUBSTITUTE(E1206,"|","@",LEN(E1206)-LEN(SUBSTITUTE(E1206,"|",""))))))</f>
        <v>Wet-DryVacuums</v>
      </c>
      <c r="E1206" t="s">
        <v>2315</v>
      </c>
      <c r="F1206" s="1">
        <v>3859</v>
      </c>
      <c r="G1206" s="1">
        <v>10295</v>
      </c>
      <c r="H1206" s="6">
        <v>63</v>
      </c>
      <c r="I1206">
        <v>3.9</v>
      </c>
      <c r="J1206" s="1">
        <v>8095</v>
      </c>
    </row>
    <row r="1207" spans="1:10">
      <c r="A1207" t="s">
        <v>2584</v>
      </c>
      <c r="B1207" t="s">
        <v>2585</v>
      </c>
      <c r="C1207" t="str">
        <f>LEFT(B1207,FIND(" ",B1207)-1)</f>
        <v>MR.</v>
      </c>
      <c r="D1207" t="str">
        <f>TRIM(RIGHT(E1207,LEN(E1207)-FIND("@",SUBSTITUTE(E1207,"|","@",LEN(E1207)-LEN(SUBSTITUTE(E1207,"|",""))))))</f>
        <v>JuicerMixerGrinders</v>
      </c>
      <c r="E1207" t="s">
        <v>2097</v>
      </c>
      <c r="F1207">
        <v>499</v>
      </c>
      <c r="G1207" s="1">
        <v>2199</v>
      </c>
      <c r="H1207" s="6">
        <v>77</v>
      </c>
      <c r="I1207">
        <v>2.8</v>
      </c>
      <c r="J1207">
        <v>109</v>
      </c>
    </row>
    <row r="1208" spans="1:10">
      <c r="A1208" t="s">
        <v>2586</v>
      </c>
      <c r="B1208" t="s">
        <v>2587</v>
      </c>
      <c r="C1208" t="str">
        <f>LEFT(B1208,FIND(" ",B1208)-1)</f>
        <v>Crompton</v>
      </c>
      <c r="D1208" t="str">
        <f>TRIM(RIGHT(E1208,LEN(E1208)-FIND("@",SUBSTITUTE(E1208,"|","@",LEN(E1208)-LEN(SUBSTITUTE(E1208,"|",""))))))</f>
        <v>CeilingFans</v>
      </c>
      <c r="E1208" t="s">
        <v>2174</v>
      </c>
      <c r="F1208" s="1">
        <v>1804</v>
      </c>
      <c r="G1208" s="1">
        <v>2380</v>
      </c>
      <c r="H1208" s="6">
        <v>24</v>
      </c>
      <c r="I1208">
        <v>4</v>
      </c>
      <c r="J1208" s="1">
        <v>15382</v>
      </c>
    </row>
    <row r="1209" spans="1:10">
      <c r="A1209" t="s">
        <v>2588</v>
      </c>
      <c r="B1209" t="s">
        <v>2589</v>
      </c>
      <c r="C1209" t="str">
        <f>LEFT(B1209,FIND(" ",B1209)-1)</f>
        <v>Sujata</v>
      </c>
      <c r="D1209" t="str">
        <f>TRIM(RIGHT(E1209,LEN(E1209)-FIND("@",SUBSTITUTE(E1209,"|","@",LEN(E1209)-LEN(SUBSTITUTE(E1209,"|",""))))))</f>
        <v>JuicerMixerGrinders</v>
      </c>
      <c r="E1209" t="s">
        <v>2097</v>
      </c>
      <c r="F1209" s="1">
        <v>6525</v>
      </c>
      <c r="G1209" s="1">
        <v>8820</v>
      </c>
      <c r="H1209" s="6">
        <v>26</v>
      </c>
      <c r="I1209">
        <v>4.5</v>
      </c>
      <c r="J1209" s="1">
        <v>5137</v>
      </c>
    </row>
    <row r="1210" spans="1:10">
      <c r="A1210" t="s">
        <v>2590</v>
      </c>
      <c r="B1210" t="s">
        <v>2591</v>
      </c>
      <c r="C1210" t="str">
        <f>LEFT(B1210,FIND(" ",B1210)-1)</f>
        <v>Aquadpure</v>
      </c>
      <c r="D1210" t="str">
        <f>TRIM(RIGHT(E1210,LEN(E1210)-FIND("@",SUBSTITUTE(E1210,"|","@",LEN(E1210)-LEN(SUBSTITUTE(E1210,"|",""))))))</f>
        <v>WaterFilters&amp;Purifiers</v>
      </c>
      <c r="E1210" t="s">
        <v>2347</v>
      </c>
      <c r="F1210" s="1">
        <v>4999</v>
      </c>
      <c r="G1210" s="1">
        <v>24999</v>
      </c>
      <c r="H1210" s="6">
        <v>8</v>
      </c>
      <c r="I1210">
        <v>4.5999999999999996</v>
      </c>
      <c r="J1210">
        <v>124</v>
      </c>
    </row>
    <row r="1211" spans="1:10">
      <c r="A1211" t="s">
        <v>2592</v>
      </c>
      <c r="B1211" t="s">
        <v>2593</v>
      </c>
      <c r="C1211" t="str">
        <f>LEFT(B1211,FIND(" ",B1211)-1)</f>
        <v>Amazon</v>
      </c>
      <c r="D1211" t="str">
        <f>TRIM(RIGHT(E1211,LEN(E1211)-FIND("@",SUBSTITUTE(E1211,"|","@",LEN(E1211)-LEN(SUBSTITUTE(E1211,"|",""))))))</f>
        <v>DripCoffeeMachines</v>
      </c>
      <c r="E1211" t="s">
        <v>2244</v>
      </c>
      <c r="F1211" s="1">
        <v>1189</v>
      </c>
      <c r="G1211" s="1">
        <v>2400</v>
      </c>
      <c r="H1211" s="6">
        <v>5</v>
      </c>
      <c r="I1211">
        <v>4.0999999999999996</v>
      </c>
      <c r="J1211">
        <v>618</v>
      </c>
    </row>
    <row r="1212" spans="1:10">
      <c r="A1212" t="s">
        <v>2594</v>
      </c>
      <c r="B1212" t="s">
        <v>2595</v>
      </c>
      <c r="C1212" t="str">
        <f>LEFT(B1212,FIND(" ",B1212)-1)</f>
        <v>Crompton</v>
      </c>
      <c r="D1212" t="str">
        <f>TRIM(RIGHT(E1212,LEN(E1212)-FIND("@",SUBSTITUTE(E1212,"|","@",LEN(E1212)-LEN(SUBSTITUTE(E1212,"|",""))))))</f>
        <v>FanHeaters</v>
      </c>
      <c r="E1212" t="s">
        <v>2008</v>
      </c>
      <c r="F1212" s="1">
        <v>2590</v>
      </c>
      <c r="G1212" s="1">
        <v>4200</v>
      </c>
      <c r="H1212" s="6">
        <v>38</v>
      </c>
      <c r="I1212">
        <v>4.0999999999999996</v>
      </c>
      <c r="J1212">
        <v>63</v>
      </c>
    </row>
    <row r="1213" spans="1:10">
      <c r="A1213" t="s">
        <v>2596</v>
      </c>
      <c r="B1213" t="s">
        <v>2597</v>
      </c>
      <c r="C1213" t="str">
        <f>LEFT(B1213,FIND(" ",B1213)-1)</f>
        <v>!!HANEUL!!1000</v>
      </c>
      <c r="D1213" t="str">
        <f>TRIM(RIGHT(E1213,LEN(E1213)-FIND("@",SUBSTITUTE(E1213,"|","@",LEN(E1213)-LEN(SUBSTITUTE(E1213,"|",""))))))</f>
        <v>FanHeaters</v>
      </c>
      <c r="E1213" t="s">
        <v>2008</v>
      </c>
      <c r="F1213">
        <v>899</v>
      </c>
      <c r="G1213" s="1">
        <v>1599</v>
      </c>
      <c r="H1213" s="6">
        <v>44</v>
      </c>
      <c r="I1213">
        <v>3.4</v>
      </c>
      <c r="J1213">
        <v>15</v>
      </c>
    </row>
    <row r="1214" spans="1:10">
      <c r="A1214" t="s">
        <v>2598</v>
      </c>
      <c r="B1214" t="s">
        <v>2599</v>
      </c>
      <c r="C1214" t="str">
        <f>LEFT(B1214,FIND(" ",B1214)-1)</f>
        <v>Melbon</v>
      </c>
      <c r="D1214" t="str">
        <f>TRIM(RIGHT(E1214,LEN(E1214)-FIND("@",SUBSTITUTE(E1214,"|","@",LEN(E1214)-LEN(SUBSTITUTE(E1214,"|",""))))))</f>
        <v>FanHeaters</v>
      </c>
      <c r="E1214" t="s">
        <v>2008</v>
      </c>
      <c r="F1214">
        <v>998</v>
      </c>
      <c r="G1214" s="1">
        <v>2999</v>
      </c>
      <c r="H1214" s="6">
        <v>67</v>
      </c>
      <c r="I1214">
        <v>4.5999999999999996</v>
      </c>
      <c r="J1214">
        <v>9</v>
      </c>
    </row>
    <row r="1215" spans="1:10">
      <c r="A1215" t="s">
        <v>2600</v>
      </c>
      <c r="B1215" t="s">
        <v>2601</v>
      </c>
      <c r="C1215" t="str">
        <f>LEFT(B1215,FIND(" ",B1215)-1)</f>
        <v>Cello</v>
      </c>
      <c r="D1215" t="str">
        <f>TRIM(RIGHT(E1215,LEN(E1215)-FIND("@",SUBSTITUTE(E1215,"|","@",LEN(E1215)-LEN(SUBSTITUTE(E1215,"|",""))))))</f>
        <v>LaundryBaskets</v>
      </c>
      <c r="E1215" t="s">
        <v>2085</v>
      </c>
      <c r="F1215">
        <v>998.06</v>
      </c>
      <c r="G1215" s="1">
        <v>1282</v>
      </c>
      <c r="H1215" s="6">
        <v>22</v>
      </c>
      <c r="I1215">
        <v>4.2</v>
      </c>
      <c r="J1215" s="1">
        <v>7274</v>
      </c>
    </row>
    <row r="1216" spans="1:10">
      <c r="A1216" t="s">
        <v>2602</v>
      </c>
      <c r="B1216" t="s">
        <v>2603</v>
      </c>
      <c r="C1216" t="str">
        <f>LEFT(B1216,FIND(" ",B1216)-1)</f>
        <v>ACTIVA</v>
      </c>
      <c r="D1216" t="str">
        <f>TRIM(RIGHT(E1216,LEN(E1216)-FIND("@",SUBSTITUTE(E1216,"|","@",LEN(E1216)-LEN(SUBSTITUTE(E1216,"|",""))))))</f>
        <v>CeilingFans</v>
      </c>
      <c r="E1216" t="s">
        <v>2174</v>
      </c>
      <c r="F1216" s="1">
        <v>1099</v>
      </c>
      <c r="G1216" s="1">
        <v>1990</v>
      </c>
      <c r="H1216" s="6">
        <v>45</v>
      </c>
      <c r="I1216">
        <v>3.9</v>
      </c>
      <c r="J1216" s="1">
        <v>5911</v>
      </c>
    </row>
    <row r="1217" spans="1:10">
      <c r="A1217" t="s">
        <v>2604</v>
      </c>
      <c r="B1217" t="s">
        <v>2605</v>
      </c>
      <c r="C1217" t="str">
        <f>LEFT(B1217,FIND(" ",B1217)-1)</f>
        <v>Shakti</v>
      </c>
      <c r="D1217" t="str">
        <f>TRIM(RIGHT(E1217,LEN(E1217)-FIND("@",SUBSTITUTE(E1217,"|","@",LEN(E1217)-LEN(SUBSTITUTE(E1217,"|",""))))))</f>
        <v>PressureWashers,Steam&amp;WindowCleaners</v>
      </c>
      <c r="E1217" t="s">
        <v>2194</v>
      </c>
      <c r="F1217" s="1">
        <v>5999</v>
      </c>
      <c r="G1217" s="1">
        <v>9999</v>
      </c>
      <c r="H1217" s="6">
        <v>4</v>
      </c>
      <c r="I1217">
        <v>4.2</v>
      </c>
      <c r="J1217">
        <v>170</v>
      </c>
    </row>
    <row r="1218" spans="1:10">
      <c r="A1218" t="s">
        <v>2606</v>
      </c>
      <c r="B1218" t="s">
        <v>2607</v>
      </c>
      <c r="C1218" t="str">
        <f>LEFT(B1218,FIND(" ",B1218)-1)</f>
        <v>AMERICAN</v>
      </c>
      <c r="D1218" t="str">
        <f>TRIM(RIGHT(E1218,LEN(E1218)-FIND("@",SUBSTITUTE(E1218,"|","@",LEN(E1218)-LEN(SUBSTITUTE(E1218,"|",""))))))</f>
        <v>Wet-DryVacuums</v>
      </c>
      <c r="E1218" t="s">
        <v>2315</v>
      </c>
      <c r="F1218" s="1">
        <v>8886</v>
      </c>
      <c r="G1218" s="1">
        <v>11850</v>
      </c>
      <c r="H1218" s="6">
        <v>25</v>
      </c>
      <c r="I1218">
        <v>4.2</v>
      </c>
      <c r="J1218" s="1">
        <v>3065</v>
      </c>
    </row>
    <row r="1219" spans="1:10">
      <c r="A1219" t="s">
        <v>2608</v>
      </c>
      <c r="B1219" t="s">
        <v>2609</v>
      </c>
      <c r="C1219" t="str">
        <f>LEFT(B1219,FIND(" ",B1219)-1)</f>
        <v>Demokrazy</v>
      </c>
      <c r="D1219" t="str">
        <f>TRIM(RIGHT(E1219,LEN(E1219)-FIND("@",SUBSTITUTE(E1219,"|","@",LEN(E1219)-LEN(SUBSTITUTE(E1219,"|",""))))))</f>
        <v>LintShavers</v>
      </c>
      <c r="E1219" t="s">
        <v>2011</v>
      </c>
      <c r="F1219">
        <v>475</v>
      </c>
      <c r="G1219">
        <v>999</v>
      </c>
      <c r="H1219" s="6">
        <v>52</v>
      </c>
      <c r="I1219">
        <v>4.0999999999999996</v>
      </c>
      <c r="J1219" s="1">
        <v>1021</v>
      </c>
    </row>
    <row r="1220" spans="1:10">
      <c r="A1220" t="s">
        <v>2610</v>
      </c>
      <c r="B1220" t="s">
        <v>2611</v>
      </c>
      <c r="C1220" t="str">
        <f>LEFT(B1220,FIND(" ",B1220)-1)</f>
        <v>Instant</v>
      </c>
      <c r="D1220" t="str">
        <f>TRIM(RIGHT(E1220,LEN(E1220)-FIND("@",SUBSTITUTE(E1220,"|","@",LEN(E1220)-LEN(SUBSTITUTE(E1220,"|",""))))))</f>
        <v>AirFryers</v>
      </c>
      <c r="E1220" t="s">
        <v>2082</v>
      </c>
      <c r="F1220" s="1">
        <v>4995</v>
      </c>
      <c r="G1220" s="1">
        <v>20049</v>
      </c>
      <c r="H1220" s="6">
        <v>75</v>
      </c>
      <c r="I1220">
        <v>4.8</v>
      </c>
      <c r="J1220" s="1">
        <v>3964</v>
      </c>
    </row>
    <row r="1221" spans="1:10">
      <c r="A1221" t="s">
        <v>2612</v>
      </c>
      <c r="B1221" t="s">
        <v>2613</v>
      </c>
      <c r="C1221" t="str">
        <f>LEFT(B1221,FIND(" ",B1221)-1)</f>
        <v>HUL</v>
      </c>
      <c r="D1221" t="str">
        <f>TRIM(RIGHT(E1221,LEN(E1221)-FIND("@",SUBSTITUTE(E1221,"|","@",LEN(E1221)-LEN(SUBSTITUTE(E1221,"|",""))))))</f>
        <v>WaterFilters&amp;Purifiers</v>
      </c>
      <c r="E1221" t="s">
        <v>2347</v>
      </c>
      <c r="F1221" s="1">
        <v>13999</v>
      </c>
      <c r="G1221" s="1">
        <v>24850</v>
      </c>
      <c r="H1221" s="6">
        <v>44</v>
      </c>
      <c r="I1221">
        <v>4.4000000000000004</v>
      </c>
      <c r="J1221" s="1">
        <v>8948</v>
      </c>
    </row>
    <row r="1222" spans="1:10">
      <c r="A1222" t="s">
        <v>2614</v>
      </c>
      <c r="B1222" t="s">
        <v>2615</v>
      </c>
      <c r="C1222" t="str">
        <f>LEFT(B1222,FIND(" ",B1222)-1)</f>
        <v>Livpure</v>
      </c>
      <c r="D1222" t="str">
        <f>TRIM(RIGHT(E1222,LEN(E1222)-FIND("@",SUBSTITUTE(E1222,"|","@",LEN(E1222)-LEN(SUBSTITUTE(E1222,"|",""))))))</f>
        <v>WaterFilters&amp;Purifiers</v>
      </c>
      <c r="E1222" t="s">
        <v>2347</v>
      </c>
      <c r="F1222" s="1">
        <v>8499</v>
      </c>
      <c r="G1222" s="1">
        <v>16490</v>
      </c>
      <c r="H1222" s="6">
        <v>48</v>
      </c>
      <c r="I1222">
        <v>4.3</v>
      </c>
      <c r="J1222">
        <v>97</v>
      </c>
    </row>
    <row r="1223" spans="1:10">
      <c r="A1223" t="s">
        <v>2616</v>
      </c>
      <c r="B1223" t="s">
        <v>2617</v>
      </c>
      <c r="C1223" t="str">
        <f>LEFT(B1223,FIND(" ",B1223)-1)</f>
        <v>Philips</v>
      </c>
      <c r="D1223" t="str">
        <f>TRIM(RIGHT(E1223,LEN(E1223)-FIND("@",SUBSTITUTE(E1223,"|","@",LEN(E1223)-LEN(SUBSTITUTE(E1223,"|",""))))))</f>
        <v>DryIrons</v>
      </c>
      <c r="E1223" t="s">
        <v>2041</v>
      </c>
      <c r="F1223">
        <v>949</v>
      </c>
      <c r="G1223">
        <v>975</v>
      </c>
      <c r="H1223" s="6">
        <v>3</v>
      </c>
      <c r="I1223">
        <v>4.3</v>
      </c>
      <c r="J1223" s="1">
        <v>7223</v>
      </c>
    </row>
    <row r="1224" spans="1:10">
      <c r="A1224" t="s">
        <v>2618</v>
      </c>
      <c r="B1224" t="s">
        <v>2619</v>
      </c>
      <c r="C1224" t="str">
        <f>LEFT(B1224,FIND(" ",B1224)-1)</f>
        <v>Kuber</v>
      </c>
      <c r="D1224" t="str">
        <f>TRIM(RIGHT(E1224,LEN(E1224)-FIND("@",SUBSTITUTE(E1224,"|","@",LEN(E1224)-LEN(SUBSTITUTE(E1224,"|",""))))))</f>
        <v>LaundryBaskets</v>
      </c>
      <c r="E1224" t="s">
        <v>2085</v>
      </c>
      <c r="F1224">
        <v>395</v>
      </c>
      <c r="G1224">
        <v>499</v>
      </c>
      <c r="H1224" s="6">
        <v>21</v>
      </c>
      <c r="I1224">
        <v>4</v>
      </c>
      <c r="J1224">
        <v>330</v>
      </c>
    </row>
    <row r="1225" spans="1:10">
      <c r="A1225" t="s">
        <v>2620</v>
      </c>
      <c r="B1225" t="s">
        <v>2621</v>
      </c>
      <c r="C1225" t="str">
        <f>LEFT(B1225,FIND(" ",B1225)-1)</f>
        <v>Preethi</v>
      </c>
      <c r="D1225" t="str">
        <f>TRIM(RIGHT(E1225,LEN(E1225)-FIND("@",SUBSTITUTE(E1225,"|","@",LEN(E1225)-LEN(SUBSTITUTE(E1225,"|",""))))))</f>
        <v>StandMixerAccessories</v>
      </c>
      <c r="E1225" t="s">
        <v>2622</v>
      </c>
      <c r="F1225">
        <v>635</v>
      </c>
      <c r="G1225">
        <v>635</v>
      </c>
      <c r="H1225" s="6">
        <v>0</v>
      </c>
      <c r="I1225">
        <v>4.3</v>
      </c>
      <c r="J1225" s="1">
        <v>4570</v>
      </c>
    </row>
    <row r="1226" spans="1:10">
      <c r="A1226" t="s">
        <v>2623</v>
      </c>
      <c r="B1226" t="s">
        <v>2624</v>
      </c>
      <c r="C1226" t="str">
        <f>LEFT(B1226,FIND(" ",B1226)-1)</f>
        <v>Usha</v>
      </c>
      <c r="D1226" t="str">
        <f>TRIM(RIGHT(E1226,LEN(E1226)-FIND("@",SUBSTITUTE(E1226,"|","@",LEN(E1226)-LEN(SUBSTITUTE(E1226,"|",""))))))</f>
        <v>DryIrons</v>
      </c>
      <c r="E1226" t="s">
        <v>2041</v>
      </c>
      <c r="F1226">
        <v>717</v>
      </c>
      <c r="G1226" s="1">
        <v>1390</v>
      </c>
      <c r="H1226" s="6">
        <v>48</v>
      </c>
      <c r="I1226">
        <v>4</v>
      </c>
      <c r="J1226" s="1">
        <v>4867</v>
      </c>
    </row>
    <row r="1227" spans="1:10">
      <c r="A1227" t="s">
        <v>2625</v>
      </c>
      <c r="B1227" t="s">
        <v>2626</v>
      </c>
      <c r="C1227" t="str">
        <f>LEFT(B1227,FIND(" ",B1227)-1)</f>
        <v>ECOVACS</v>
      </c>
      <c r="D1227" t="str">
        <f>TRIM(RIGHT(E1227,LEN(E1227)-FIND("@",SUBSTITUTE(E1227,"|","@",LEN(E1227)-LEN(SUBSTITUTE(E1227,"|",""))))))</f>
        <v>RoboticVacuums</v>
      </c>
      <c r="E1227" t="s">
        <v>2627</v>
      </c>
      <c r="F1227" s="1">
        <v>27900</v>
      </c>
      <c r="G1227" s="1">
        <v>59900</v>
      </c>
      <c r="H1227" s="6">
        <v>53</v>
      </c>
      <c r="I1227">
        <v>4.4000000000000004</v>
      </c>
      <c r="J1227" s="1">
        <v>5298</v>
      </c>
    </row>
    <row r="1228" spans="1:10">
      <c r="A1228" t="s">
        <v>2628</v>
      </c>
      <c r="B1228" t="s">
        <v>2629</v>
      </c>
      <c r="C1228" t="str">
        <f>LEFT(B1228,FIND(" ",B1228)-1)</f>
        <v>Kent</v>
      </c>
      <c r="D1228" t="str">
        <f>TRIM(RIGHT(E1228,LEN(E1228)-FIND("@",SUBSTITUTE(E1228,"|","@",LEN(E1228)-LEN(SUBSTITUTE(E1228,"|",""))))))</f>
        <v>WaterCartridges</v>
      </c>
      <c r="E1228" t="s">
        <v>2252</v>
      </c>
      <c r="F1228">
        <v>649</v>
      </c>
      <c r="G1228">
        <v>670</v>
      </c>
      <c r="H1228" s="6">
        <v>3</v>
      </c>
      <c r="I1228">
        <v>4.0999999999999996</v>
      </c>
      <c r="J1228" s="1">
        <v>7786</v>
      </c>
    </row>
    <row r="1229" spans="1:10">
      <c r="A1229" t="s">
        <v>2630</v>
      </c>
      <c r="B1229" t="s">
        <v>2631</v>
      </c>
      <c r="C1229" t="str">
        <f>LEFT(B1229,FIND(" ",B1229)-1)</f>
        <v>AVNISH</v>
      </c>
      <c r="D1229" t="str">
        <f>TRIM(RIGHT(E1229,LEN(E1229)-FIND("@",SUBSTITUTE(E1229,"|","@",LEN(E1229)-LEN(SUBSTITUTE(E1229,"|",""))))))</f>
        <v>WaterPurifierAccessories</v>
      </c>
      <c r="E1229" t="s">
        <v>2249</v>
      </c>
      <c r="F1229">
        <v>193</v>
      </c>
      <c r="G1229">
        <v>399</v>
      </c>
      <c r="H1229" s="6">
        <v>52</v>
      </c>
      <c r="I1229">
        <v>3.6</v>
      </c>
      <c r="J1229">
        <v>37</v>
      </c>
    </row>
    <row r="1230" spans="1:10">
      <c r="A1230" t="s">
        <v>2632</v>
      </c>
      <c r="B1230" t="s">
        <v>2633</v>
      </c>
      <c r="C1230" t="str">
        <f>LEFT(B1230,FIND(" ",B1230)-1)</f>
        <v>Khaitan</v>
      </c>
      <c r="D1230" t="str">
        <f>TRIM(RIGHT(E1230,LEN(E1230)-FIND("@",SUBSTITUTE(E1230,"|","@",LEN(E1230)-LEN(SUBSTITUTE(E1230,"|",""))))))</f>
        <v>FanHeaters</v>
      </c>
      <c r="E1230" t="s">
        <v>2008</v>
      </c>
      <c r="F1230" s="1">
        <v>1299</v>
      </c>
      <c r="G1230" s="1">
        <v>2495</v>
      </c>
      <c r="H1230" s="6">
        <v>48</v>
      </c>
      <c r="I1230">
        <v>2</v>
      </c>
      <c r="J1230">
        <v>2</v>
      </c>
    </row>
    <row r="1231" spans="1:10">
      <c r="A1231" t="s">
        <v>2634</v>
      </c>
      <c r="B1231" t="s">
        <v>2635</v>
      </c>
      <c r="C1231" t="str">
        <f>LEFT(B1231,FIND(" ",B1231)-1)</f>
        <v>USHA</v>
      </c>
      <c r="D1231" t="str">
        <f>TRIM(RIGHT(E1231,LEN(E1231)-FIND("@",SUBSTITUTE(E1231,"|","@",LEN(E1231)-LEN(SUBSTITUTE(E1231,"|",""))))))</f>
        <v>MixerGrinders</v>
      </c>
      <c r="E1231" t="s">
        <v>2044</v>
      </c>
      <c r="F1231" s="1">
        <v>2449</v>
      </c>
      <c r="G1231" s="1">
        <v>3390</v>
      </c>
      <c r="H1231" s="6">
        <v>28</v>
      </c>
      <c r="I1231">
        <v>4</v>
      </c>
      <c r="J1231" s="1">
        <v>5206</v>
      </c>
    </row>
    <row r="1232" spans="1:10">
      <c r="A1232" t="s">
        <v>2636</v>
      </c>
      <c r="B1232" t="s">
        <v>2637</v>
      </c>
      <c r="C1232" t="str">
        <f>LEFT(B1232,FIND(" ",B1232)-1)</f>
        <v>CSI</v>
      </c>
      <c r="D1232" t="str">
        <f>TRIM(RIGHT(E1232,LEN(E1232)-FIND("@",SUBSTITUTE(E1232,"|","@",LEN(E1232)-LEN(SUBSTITUTE(E1232,"|",""))))))</f>
        <v>InstantWaterHeaters</v>
      </c>
      <c r="E1232" t="s">
        <v>2047</v>
      </c>
      <c r="F1232" s="1">
        <v>1049</v>
      </c>
      <c r="G1232" s="1">
        <v>2499</v>
      </c>
      <c r="H1232" s="6">
        <v>58</v>
      </c>
      <c r="I1232">
        <v>3.7</v>
      </c>
      <c r="J1232">
        <v>638</v>
      </c>
    </row>
    <row r="1233" spans="1:10">
      <c r="A1233" t="s">
        <v>2638</v>
      </c>
      <c r="B1233" t="s">
        <v>2639</v>
      </c>
      <c r="C1233" t="str">
        <f>LEFT(B1233,FIND(" ",B1233)-1)</f>
        <v>Havells</v>
      </c>
      <c r="D1233" t="str">
        <f>TRIM(RIGHT(E1233,LEN(E1233)-FIND("@",SUBSTITUTE(E1233,"|","@",LEN(E1233)-LEN(SUBSTITUTE(E1233,"|",""))))))</f>
        <v>TableFans</v>
      </c>
      <c r="E1233" t="s">
        <v>2536</v>
      </c>
      <c r="F1233" s="1">
        <v>2399</v>
      </c>
      <c r="G1233" s="1">
        <v>4200</v>
      </c>
      <c r="H1233" s="6">
        <v>43</v>
      </c>
      <c r="I1233">
        <v>3.8</v>
      </c>
      <c r="J1233">
        <v>397</v>
      </c>
    </row>
    <row r="1234" spans="1:10">
      <c r="A1234" t="s">
        <v>2640</v>
      </c>
      <c r="B1234" t="s">
        <v>2641</v>
      </c>
      <c r="C1234" t="str">
        <f>LEFT(B1234,FIND(" ",B1234)-1)</f>
        <v>INALSA</v>
      </c>
      <c r="D1234" t="str">
        <f>TRIM(RIGHT(E1234,LEN(E1234)-FIND("@",SUBSTITUTE(E1234,"|","@",LEN(E1234)-LEN(SUBSTITUTE(E1234,"|",""))))))</f>
        <v>HandheldVacuums</v>
      </c>
      <c r="E1234" t="s">
        <v>2104</v>
      </c>
      <c r="F1234" s="1">
        <v>2286</v>
      </c>
      <c r="G1234" s="1">
        <v>4495</v>
      </c>
      <c r="H1234" s="6">
        <v>49</v>
      </c>
      <c r="I1234">
        <v>3.9</v>
      </c>
      <c r="J1234">
        <v>326</v>
      </c>
    </row>
    <row r="1235" spans="1:10">
      <c r="A1235" t="s">
        <v>2642</v>
      </c>
      <c r="B1235" t="s">
        <v>2643</v>
      </c>
      <c r="C1235" t="str">
        <f>LEFT(B1235,FIND(" ",B1235)-1)</f>
        <v>ROYAL</v>
      </c>
      <c r="D1235" t="str">
        <f>TRIM(RIGHT(E1235,LEN(E1235)-FIND("@",SUBSTITUTE(E1235,"|","@",LEN(E1235)-LEN(SUBSTITUTE(E1235,"|",""))))))</f>
        <v>Juicers</v>
      </c>
      <c r="E1235" t="s">
        <v>2448</v>
      </c>
      <c r="F1235">
        <v>499</v>
      </c>
      <c r="G1235" s="1">
        <v>2199</v>
      </c>
      <c r="H1235" s="6">
        <v>77</v>
      </c>
      <c r="I1235">
        <v>3.1</v>
      </c>
      <c r="J1235" s="1">
        <v>3527</v>
      </c>
    </row>
    <row r="1236" spans="1:10">
      <c r="A1236" t="s">
        <v>2644</v>
      </c>
      <c r="B1236" t="s">
        <v>2645</v>
      </c>
      <c r="C1236" t="str">
        <f>LEFT(B1236,FIND(" ",B1236)-1)</f>
        <v>Nirdambhay</v>
      </c>
      <c r="D1236" t="str">
        <f>TRIM(RIGHT(E1236,LEN(E1236)-FIND("@",SUBSTITUTE(E1236,"|","@",LEN(E1236)-LEN(SUBSTITUTE(E1236,"|",""))))))</f>
        <v>VacuumSealers</v>
      </c>
      <c r="E1236" t="s">
        <v>2171</v>
      </c>
      <c r="F1236">
        <v>429</v>
      </c>
      <c r="G1236">
        <v>999</v>
      </c>
      <c r="H1236" s="6">
        <v>57</v>
      </c>
      <c r="I1236">
        <v>3</v>
      </c>
      <c r="J1236">
        <v>617</v>
      </c>
    </row>
    <row r="1237" spans="1:10">
      <c r="A1237" t="s">
        <v>2646</v>
      </c>
      <c r="B1237" t="s">
        <v>2647</v>
      </c>
      <c r="C1237" t="str">
        <f>LEFT(B1237,FIND(" ",B1237)-1)</f>
        <v>Cello</v>
      </c>
      <c r="D1237" t="str">
        <f>TRIM(RIGHT(E1237,LEN(E1237)-FIND("@",SUBSTITUTE(E1237,"|","@",LEN(E1237)-LEN(SUBSTITUTE(E1237,"|",""))))))</f>
        <v>SandwichMakers</v>
      </c>
      <c r="E1237" t="s">
        <v>2124</v>
      </c>
      <c r="F1237">
        <v>299</v>
      </c>
      <c r="G1237">
        <v>595</v>
      </c>
      <c r="H1237" s="6">
        <v>5</v>
      </c>
      <c r="I1237">
        <v>4</v>
      </c>
      <c r="J1237">
        <v>314</v>
      </c>
    </row>
    <row r="1238" spans="1:10">
      <c r="A1238" t="s">
        <v>2648</v>
      </c>
      <c r="B1238" t="s">
        <v>2649</v>
      </c>
      <c r="C1238" t="str">
        <f>LEFT(B1238,FIND(" ",B1238)-1)</f>
        <v>ProvenÂ®</v>
      </c>
      <c r="D1238" t="str">
        <f>TRIM(RIGHT(E1238,LEN(E1238)-FIND("@",SUBSTITUTE(E1238,"|","@",LEN(E1238)-LEN(SUBSTITUTE(E1238,"|",""))))))</f>
        <v>WaterFilters&amp;Purifiers</v>
      </c>
      <c r="E1238" t="s">
        <v>2347</v>
      </c>
      <c r="F1238" s="1">
        <v>5395</v>
      </c>
      <c r="G1238" s="1">
        <v>19990</v>
      </c>
      <c r="H1238" s="6">
        <v>73</v>
      </c>
      <c r="I1238">
        <v>4.4000000000000004</v>
      </c>
      <c r="J1238">
        <v>535</v>
      </c>
    </row>
    <row r="1239" spans="1:10">
      <c r="A1239" t="s">
        <v>2650</v>
      </c>
      <c r="B1239" t="s">
        <v>2651</v>
      </c>
      <c r="C1239" t="str">
        <f>LEFT(B1239,FIND(" ",B1239)-1)</f>
        <v>Morphy</v>
      </c>
      <c r="D1239" t="str">
        <f>TRIM(RIGHT(E1239,LEN(E1239)-FIND("@",SUBSTITUTE(E1239,"|","@",LEN(E1239)-LEN(SUBSTITUTE(E1239,"|",""))))))</f>
        <v>DryIrons</v>
      </c>
      <c r="E1239" t="s">
        <v>2041</v>
      </c>
      <c r="F1239">
        <v>559</v>
      </c>
      <c r="G1239" s="1">
        <v>1010</v>
      </c>
      <c r="H1239" s="6">
        <v>45</v>
      </c>
      <c r="I1239">
        <v>4.0999999999999996</v>
      </c>
      <c r="J1239" s="1">
        <v>17325</v>
      </c>
    </row>
    <row r="1240" spans="1:10">
      <c r="A1240" t="s">
        <v>2652</v>
      </c>
      <c r="B1240" t="s">
        <v>2653</v>
      </c>
      <c r="C1240" t="str">
        <f>LEFT(B1240,FIND(" ",B1240)-1)</f>
        <v>Wipro</v>
      </c>
      <c r="D1240" t="str">
        <f>TRIM(RIGHT(E1240,LEN(E1240)-FIND("@",SUBSTITUTE(E1240,"|","@",LEN(E1240)-LEN(SUBSTITUTE(E1240,"|",""))))))</f>
        <v>DryIrons</v>
      </c>
      <c r="E1240" t="s">
        <v>2041</v>
      </c>
      <c r="F1240">
        <v>660</v>
      </c>
      <c r="G1240" s="1">
        <v>1100</v>
      </c>
      <c r="H1240" s="6">
        <v>4</v>
      </c>
      <c r="I1240">
        <v>3.6</v>
      </c>
      <c r="J1240">
        <v>91</v>
      </c>
    </row>
    <row r="1241" spans="1:10">
      <c r="A1241" t="s">
        <v>2654</v>
      </c>
      <c r="B1241" t="s">
        <v>2655</v>
      </c>
      <c r="C1241" t="str">
        <f>LEFT(B1241,FIND(" ",B1241)-1)</f>
        <v>Zuvexa</v>
      </c>
      <c r="D1241" t="str">
        <f>TRIM(RIGHT(E1241,LEN(E1241)-FIND("@",SUBSTITUTE(E1241,"|","@",LEN(E1241)-LEN(SUBSTITUTE(E1241,"|",""))))))</f>
        <v>EggBoilers</v>
      </c>
      <c r="E1241" t="s">
        <v>2117</v>
      </c>
      <c r="F1241">
        <v>419</v>
      </c>
      <c r="G1241">
        <v>999</v>
      </c>
      <c r="H1241" s="6">
        <v>58</v>
      </c>
      <c r="I1241">
        <v>4.4000000000000004</v>
      </c>
      <c r="J1241">
        <v>227</v>
      </c>
    </row>
    <row r="1242" spans="1:10">
      <c r="A1242" t="s">
        <v>2656</v>
      </c>
      <c r="B1242" t="s">
        <v>2657</v>
      </c>
      <c r="C1242" t="str">
        <f>LEFT(B1242,FIND(" ",B1242)-1)</f>
        <v>AO</v>
      </c>
      <c r="D1242" t="str">
        <f>TRIM(RIGHT(E1242,LEN(E1242)-FIND("@",SUBSTITUTE(E1242,"|","@",LEN(E1242)-LEN(SUBSTITUTE(E1242,"|",""))))))</f>
        <v>StorageWaterHeaters</v>
      </c>
      <c r="E1242" t="s">
        <v>2060</v>
      </c>
      <c r="F1242" s="1">
        <v>7349</v>
      </c>
      <c r="G1242" s="1">
        <v>10900</v>
      </c>
      <c r="H1242" s="6">
        <v>33</v>
      </c>
      <c r="I1242">
        <v>4.2</v>
      </c>
      <c r="J1242" s="1">
        <v>11957</v>
      </c>
    </row>
    <row r="1243" spans="1:10">
      <c r="A1243" t="s">
        <v>2658</v>
      </c>
      <c r="B1243" t="s">
        <v>2659</v>
      </c>
      <c r="C1243" t="str">
        <f>LEFT(B1243,FIND(" ",B1243)-1)</f>
        <v>Havells</v>
      </c>
      <c r="D1243" t="str">
        <f>TRIM(RIGHT(E1243,LEN(E1243)-FIND("@",SUBSTITUTE(E1243,"|","@",LEN(E1243)-LEN(SUBSTITUTE(E1243,"|",""))))))</f>
        <v>CeilingFans</v>
      </c>
      <c r="E1243" t="s">
        <v>2174</v>
      </c>
      <c r="F1243" s="1">
        <v>2899</v>
      </c>
      <c r="G1243" s="1">
        <v>4005</v>
      </c>
      <c r="H1243" s="6">
        <v>28</v>
      </c>
      <c r="I1243">
        <v>4.3</v>
      </c>
      <c r="J1243" s="1">
        <v>7140</v>
      </c>
    </row>
    <row r="1244" spans="1:10">
      <c r="A1244" t="s">
        <v>2660</v>
      </c>
      <c r="B1244" t="s">
        <v>2661</v>
      </c>
      <c r="C1244" t="str">
        <f>LEFT(B1244,FIND(" ",B1244)-1)</f>
        <v>INALSA</v>
      </c>
      <c r="D1244" t="str">
        <f>TRIM(RIGHT(E1244,LEN(E1244)-FIND("@",SUBSTITUTE(E1244,"|","@",LEN(E1244)-LEN(SUBSTITUTE(E1244,"|",""))))))</f>
        <v>HandheldVacuums</v>
      </c>
      <c r="E1244" t="s">
        <v>2104</v>
      </c>
      <c r="F1244" s="1">
        <v>1799</v>
      </c>
      <c r="G1244" s="1">
        <v>3295</v>
      </c>
      <c r="H1244" s="6">
        <v>45</v>
      </c>
      <c r="I1244">
        <v>3.8</v>
      </c>
      <c r="J1244">
        <v>687</v>
      </c>
    </row>
    <row r="1245" spans="1:10">
      <c r="A1245" t="s">
        <v>2662</v>
      </c>
      <c r="B1245" t="s">
        <v>2663</v>
      </c>
      <c r="C1245" t="str">
        <f>LEFT(B1245,FIND(" ",B1245)-1)</f>
        <v>iBELL</v>
      </c>
      <c r="D1245" t="str">
        <f>TRIM(RIGHT(E1245,LEN(E1245)-FIND("@",SUBSTITUTE(E1245,"|","@",LEN(E1245)-LEN(SUBSTITUTE(E1245,"|",""))))))</f>
        <v>SandwichMakers</v>
      </c>
      <c r="E1245" t="s">
        <v>2124</v>
      </c>
      <c r="F1245" s="1">
        <v>1474</v>
      </c>
      <c r="G1245" s="1">
        <v>4650</v>
      </c>
      <c r="H1245" s="6">
        <v>68</v>
      </c>
      <c r="I1245">
        <v>4.0999999999999996</v>
      </c>
      <c r="J1245" s="1">
        <v>1045</v>
      </c>
    </row>
    <row r="1246" spans="1:10">
      <c r="A1246" t="s">
        <v>2664</v>
      </c>
      <c r="B1246" t="s">
        <v>2665</v>
      </c>
      <c r="C1246" t="str">
        <f>LEFT(B1246,FIND(" ",B1246)-1)</f>
        <v>Aquaguard</v>
      </c>
      <c r="D1246" t="str">
        <f>TRIM(RIGHT(E1246,LEN(E1246)-FIND("@",SUBSTITUTE(E1246,"|","@",LEN(E1246)-LEN(SUBSTITUTE(E1246,"|",""))))))</f>
        <v>WaterFilters&amp;Purifiers</v>
      </c>
      <c r="E1246" t="s">
        <v>2347</v>
      </c>
      <c r="F1246" s="1">
        <v>15999</v>
      </c>
      <c r="G1246" s="1">
        <v>24500</v>
      </c>
      <c r="H1246" s="6">
        <v>35</v>
      </c>
      <c r="I1246">
        <v>4</v>
      </c>
      <c r="J1246" s="1">
        <v>11206</v>
      </c>
    </row>
    <row r="1247" spans="1:10">
      <c r="A1247" t="s">
        <v>2666</v>
      </c>
      <c r="B1247" t="s">
        <v>2667</v>
      </c>
      <c r="C1247" t="str">
        <f>LEFT(B1247,FIND(" ",B1247)-1)</f>
        <v>Havells</v>
      </c>
      <c r="D1247" t="str">
        <f>TRIM(RIGHT(E1247,LEN(E1247)-FIND("@",SUBSTITUTE(E1247,"|","@",LEN(E1247)-LEN(SUBSTITUTE(E1247,"|",""))))))</f>
        <v>InstantWaterHeaters</v>
      </c>
      <c r="E1247" t="s">
        <v>2047</v>
      </c>
      <c r="F1247" s="1">
        <v>3645</v>
      </c>
      <c r="G1247" s="1">
        <v>6070</v>
      </c>
      <c r="H1247" s="6">
        <v>4</v>
      </c>
      <c r="I1247">
        <v>4.2</v>
      </c>
      <c r="J1247">
        <v>561</v>
      </c>
    </row>
    <row r="1248" spans="1:10">
      <c r="A1248" t="s">
        <v>2668</v>
      </c>
      <c r="B1248" t="s">
        <v>2669</v>
      </c>
      <c r="C1248" t="str">
        <f>LEFT(B1248,FIND(" ",B1248)-1)</f>
        <v>Milk</v>
      </c>
      <c r="D1248" t="str">
        <f>TRIM(RIGHT(E1248,LEN(E1248)-FIND("@",SUBSTITUTE(E1248,"|","@",LEN(E1248)-LEN(SUBSTITUTE(E1248,"|",""))))))</f>
        <v>HandBlenders</v>
      </c>
      <c r="E1248" t="s">
        <v>2038</v>
      </c>
      <c r="F1248">
        <v>375</v>
      </c>
      <c r="G1248">
        <v>999</v>
      </c>
      <c r="H1248" s="6">
        <v>62</v>
      </c>
      <c r="I1248">
        <v>3.6</v>
      </c>
      <c r="J1248" s="1">
        <v>1988</v>
      </c>
    </row>
    <row r="1249" spans="1:10">
      <c r="A1249" t="s">
        <v>2670</v>
      </c>
      <c r="B1249" t="s">
        <v>2671</v>
      </c>
      <c r="C1249" t="str">
        <f>LEFT(B1249,FIND(" ",B1249)-1)</f>
        <v>Panasonic</v>
      </c>
      <c r="D1249" t="str">
        <f>TRIM(RIGHT(E1249,LEN(E1249)-FIND("@",SUBSTITUTE(E1249,"|","@",LEN(E1249)-LEN(SUBSTITUTE(E1249,"|",""))))))</f>
        <v>Rice&amp;PastaCookers</v>
      </c>
      <c r="E1249" t="s">
        <v>2263</v>
      </c>
      <c r="F1249" s="1">
        <v>2976</v>
      </c>
      <c r="G1249" s="1">
        <v>3945</v>
      </c>
      <c r="H1249" s="6">
        <v>25</v>
      </c>
      <c r="I1249">
        <v>4.2</v>
      </c>
      <c r="J1249" s="1">
        <v>3740</v>
      </c>
    </row>
    <row r="1250" spans="1:10">
      <c r="A1250" t="s">
        <v>2672</v>
      </c>
      <c r="B1250" t="s">
        <v>2673</v>
      </c>
      <c r="C1250" t="str">
        <f>LEFT(B1250,FIND(" ",B1250)-1)</f>
        <v>InstaCuppa</v>
      </c>
      <c r="D1250" t="str">
        <f>TRIM(RIGHT(E1250,LEN(E1250)-FIND("@",SUBSTITUTE(E1250,"|","@",LEN(E1250)-LEN(SUBSTITUTE(E1250,"|",""))))))</f>
        <v>MilkFrothers</v>
      </c>
      <c r="E1250" t="s">
        <v>2551</v>
      </c>
      <c r="F1250" s="1">
        <v>1099</v>
      </c>
      <c r="G1250" s="1">
        <v>1499</v>
      </c>
      <c r="H1250" s="6">
        <v>27</v>
      </c>
      <c r="I1250">
        <v>4.0999999999999996</v>
      </c>
      <c r="J1250" s="1">
        <v>4401</v>
      </c>
    </row>
    <row r="1251" spans="1:10">
      <c r="A1251" t="s">
        <v>2674</v>
      </c>
      <c r="B1251" t="s">
        <v>2675</v>
      </c>
      <c r="C1251" t="str">
        <f>LEFT(B1251,FIND(" ",B1251)-1)</f>
        <v>Goodscity</v>
      </c>
      <c r="D1251" t="str">
        <f>TRIM(RIGHT(E1251,LEN(E1251)-FIND("@",SUBSTITUTE(E1251,"|","@",LEN(E1251)-LEN(SUBSTITUTE(E1251,"|",""))))))</f>
        <v>SteamIrons</v>
      </c>
      <c r="E1251" t="s">
        <v>2088</v>
      </c>
      <c r="F1251" s="1">
        <v>2575</v>
      </c>
      <c r="G1251" s="1">
        <v>6700</v>
      </c>
      <c r="H1251" s="6">
        <v>62</v>
      </c>
      <c r="I1251">
        <v>4.2</v>
      </c>
      <c r="J1251">
        <v>611</v>
      </c>
    </row>
    <row r="1252" spans="1:10">
      <c r="A1252" t="s">
        <v>2676</v>
      </c>
      <c r="B1252" t="s">
        <v>2677</v>
      </c>
      <c r="C1252" t="str">
        <f>LEFT(B1252,FIND(" ",B1252)-1)</f>
        <v>Solidaire</v>
      </c>
      <c r="D1252" t="str">
        <f>TRIM(RIGHT(E1252,LEN(E1252)-FIND("@",SUBSTITUTE(E1252,"|","@",LEN(E1252)-LEN(SUBSTITUTE(E1252,"|",""))))))</f>
        <v>MixerGrinders</v>
      </c>
      <c r="E1252" t="s">
        <v>2044</v>
      </c>
      <c r="F1252" s="1">
        <v>1649</v>
      </c>
      <c r="G1252" s="1">
        <v>2800</v>
      </c>
      <c r="H1252" s="6">
        <v>41</v>
      </c>
      <c r="I1252">
        <v>3.9</v>
      </c>
      <c r="J1252" s="1">
        <v>2162</v>
      </c>
    </row>
    <row r="1253" spans="1:10">
      <c r="A1253" t="s">
        <v>2678</v>
      </c>
      <c r="B1253" t="s">
        <v>2679</v>
      </c>
      <c r="C1253" t="str">
        <f>LEFT(B1253,FIND(" ",B1253)-1)</f>
        <v>Amazon</v>
      </c>
      <c r="D1253" t="str">
        <f>TRIM(RIGHT(E1253,LEN(E1253)-FIND("@",SUBSTITUTE(E1253,"|","@",LEN(E1253)-LEN(SUBSTITUTE(E1253,"|",""))))))</f>
        <v>HandBlenders</v>
      </c>
      <c r="E1253" t="s">
        <v>2038</v>
      </c>
      <c r="F1253">
        <v>799</v>
      </c>
      <c r="G1253" s="1">
        <v>1699</v>
      </c>
      <c r="H1253" s="6">
        <v>53</v>
      </c>
      <c r="I1253">
        <v>4</v>
      </c>
      <c r="J1253">
        <v>97</v>
      </c>
    </row>
    <row r="1254" spans="1:10">
      <c r="A1254" t="s">
        <v>2680</v>
      </c>
      <c r="B1254" t="s">
        <v>2681</v>
      </c>
      <c r="C1254" t="str">
        <f>LEFT(B1254,FIND(" ",B1254)-1)</f>
        <v>Orpat</v>
      </c>
      <c r="D1254" t="str">
        <f>TRIM(RIGHT(E1254,LEN(E1254)-FIND("@",SUBSTITUTE(E1254,"|","@",LEN(E1254)-LEN(SUBSTITUTE(E1254,"|",""))))))</f>
        <v>HandBlenders</v>
      </c>
      <c r="E1254" t="s">
        <v>2038</v>
      </c>
      <c r="F1254">
        <v>765</v>
      </c>
      <c r="G1254">
        <v>970</v>
      </c>
      <c r="H1254" s="6">
        <v>21</v>
      </c>
      <c r="I1254">
        <v>4.2</v>
      </c>
      <c r="J1254" s="1">
        <v>6055</v>
      </c>
    </row>
    <row r="1255" spans="1:10">
      <c r="A1255" t="s">
        <v>2682</v>
      </c>
      <c r="B1255" t="s">
        <v>2683</v>
      </c>
      <c r="C1255" t="str">
        <f>LEFT(B1255,FIND(" ",B1255)-1)</f>
        <v>HealthSense</v>
      </c>
      <c r="D1255" t="str">
        <f>TRIM(RIGHT(E1255,LEN(E1255)-FIND("@",SUBSTITUTE(E1255,"|","@",LEN(E1255)-LEN(SUBSTITUTE(E1255,"|",""))))))</f>
        <v>LintShavers</v>
      </c>
      <c r="E1255" t="s">
        <v>2011</v>
      </c>
      <c r="F1255">
        <v>999</v>
      </c>
      <c r="G1255" s="1">
        <v>1500</v>
      </c>
      <c r="H1255" s="6">
        <v>33</v>
      </c>
      <c r="I1255">
        <v>4.2</v>
      </c>
      <c r="J1255">
        <v>386</v>
      </c>
    </row>
    <row r="1256" spans="1:10">
      <c r="A1256" t="s">
        <v>2684</v>
      </c>
      <c r="B1256" t="s">
        <v>2685</v>
      </c>
      <c r="C1256" t="str">
        <f>LEFT(B1256,FIND(" ",B1256)-1)</f>
        <v>AGARO</v>
      </c>
      <c r="D1256" t="str">
        <f>TRIM(RIGHT(E1256,LEN(E1256)-FIND("@",SUBSTITUTE(E1256,"|","@",LEN(E1256)-LEN(SUBSTITUTE(E1256,"|",""))))))</f>
        <v>YogurtMakers</v>
      </c>
      <c r="E1256" t="s">
        <v>2686</v>
      </c>
      <c r="F1256">
        <v>587</v>
      </c>
      <c r="G1256" s="1">
        <v>1295</v>
      </c>
      <c r="H1256" s="6">
        <v>55</v>
      </c>
      <c r="I1256">
        <v>4.0999999999999996</v>
      </c>
      <c r="J1256">
        <v>557</v>
      </c>
    </row>
    <row r="1257" spans="1:10">
      <c r="A1257" t="s">
        <v>2687</v>
      </c>
      <c r="B1257" t="s">
        <v>2688</v>
      </c>
      <c r="C1257" t="str">
        <f>LEFT(B1257,FIND(" ",B1257)-1)</f>
        <v>AGARO</v>
      </c>
      <c r="D1257" t="str">
        <f>TRIM(RIGHT(E1257,LEN(E1257)-FIND("@",SUBSTITUTE(E1257,"|","@",LEN(E1257)-LEN(SUBSTITUTE(E1257,"|",""))))))</f>
        <v>ColdPressJuicers</v>
      </c>
      <c r="E1257" t="s">
        <v>2689</v>
      </c>
      <c r="F1257" s="1">
        <v>12609</v>
      </c>
      <c r="G1257" s="1">
        <v>23999</v>
      </c>
      <c r="H1257" s="6">
        <v>47</v>
      </c>
      <c r="I1257">
        <v>4.4000000000000004</v>
      </c>
      <c r="J1257" s="1">
        <v>2288</v>
      </c>
    </row>
    <row r="1258" spans="1:10">
      <c r="A1258" t="s">
        <v>2690</v>
      </c>
      <c r="B1258" t="s">
        <v>2691</v>
      </c>
      <c r="C1258" t="str">
        <f>LEFT(B1258,FIND(" ",B1258)-1)</f>
        <v>Wipro</v>
      </c>
      <c r="D1258" t="str">
        <f>TRIM(RIGHT(E1258,LEN(E1258)-FIND("@",SUBSTITUTE(E1258,"|","@",LEN(E1258)-LEN(SUBSTITUTE(E1258,"|",""))))))</f>
        <v>DryIrons</v>
      </c>
      <c r="E1258" t="s">
        <v>2041</v>
      </c>
      <c r="F1258">
        <v>699</v>
      </c>
      <c r="G1258">
        <v>850</v>
      </c>
      <c r="H1258" s="6">
        <v>18</v>
      </c>
      <c r="I1258">
        <v>4.0999999999999996</v>
      </c>
      <c r="J1258" s="1">
        <v>1106</v>
      </c>
    </row>
    <row r="1259" spans="1:10">
      <c r="A1259" t="s">
        <v>2692</v>
      </c>
      <c r="B1259" t="s">
        <v>2693</v>
      </c>
      <c r="C1259" t="str">
        <f>LEFT(B1259,FIND(" ",B1259)-1)</f>
        <v>AmazonBasics</v>
      </c>
      <c r="D1259" t="str">
        <f>TRIM(RIGHT(E1259,LEN(E1259)-FIND("@",SUBSTITUTE(E1259,"|","@",LEN(E1259)-LEN(SUBSTITUTE(E1259,"|",""))))))</f>
        <v>CanisterVacuums</v>
      </c>
      <c r="E1259" t="s">
        <v>2181</v>
      </c>
      <c r="F1259" s="1">
        <v>3799</v>
      </c>
      <c r="G1259" s="1">
        <v>6000</v>
      </c>
      <c r="H1259" s="6">
        <v>37</v>
      </c>
      <c r="I1259">
        <v>4.2</v>
      </c>
      <c r="J1259" s="1">
        <v>11935</v>
      </c>
    </row>
    <row r="1260" spans="1:10">
      <c r="A1260" t="s">
        <v>2694</v>
      </c>
      <c r="B1260" t="s">
        <v>2695</v>
      </c>
      <c r="C1260" t="str">
        <f>LEFT(B1260,FIND(" ",B1260)-1)</f>
        <v>Crompton</v>
      </c>
      <c r="D1260" t="str">
        <f>TRIM(RIGHT(E1260,LEN(E1260)-FIND("@",SUBSTITUTE(E1260,"|","@",LEN(E1260)-LEN(SUBSTITUTE(E1260,"|",""))))))</f>
        <v>ImmersionRods</v>
      </c>
      <c r="E1260" t="s">
        <v>2075</v>
      </c>
      <c r="F1260">
        <v>640</v>
      </c>
      <c r="G1260" s="1">
        <v>1020</v>
      </c>
      <c r="H1260" s="6">
        <v>37</v>
      </c>
      <c r="I1260">
        <v>4.0999999999999996</v>
      </c>
      <c r="J1260" s="1">
        <v>5059</v>
      </c>
    </row>
    <row r="1261" spans="1:10">
      <c r="A1261" t="s">
        <v>2696</v>
      </c>
      <c r="B1261" t="s">
        <v>2697</v>
      </c>
      <c r="C1261" t="str">
        <f>LEFT(B1261,FIND(" ",B1261)-1)</f>
        <v>SaiEllin</v>
      </c>
      <c r="D1261" t="str">
        <f>TRIM(RIGHT(E1261,LEN(E1261)-FIND("@",SUBSTITUTE(E1261,"|","@",LEN(E1261)-LEN(SUBSTITUTE(E1261,"|",""))))))</f>
        <v>FanHeaters</v>
      </c>
      <c r="E1261" t="s">
        <v>2008</v>
      </c>
      <c r="F1261">
        <v>979</v>
      </c>
      <c r="G1261" s="1">
        <v>1999</v>
      </c>
      <c r="H1261" s="6">
        <v>51</v>
      </c>
      <c r="I1261">
        <v>3.9</v>
      </c>
      <c r="J1261">
        <v>157</v>
      </c>
    </row>
    <row r="1262" spans="1:10">
      <c r="A1262" t="s">
        <v>2698</v>
      </c>
      <c r="B1262" t="s">
        <v>2699</v>
      </c>
      <c r="C1262" t="str">
        <f>LEFT(B1262,FIND(" ",B1262)-1)</f>
        <v>Bajaj</v>
      </c>
      <c r="D1262" t="str">
        <f>TRIM(RIGHT(E1262,LEN(E1262)-FIND("@",SUBSTITUTE(E1262,"|","@",LEN(E1262)-LEN(SUBSTITUTE(E1262,"|",""))))))</f>
        <v>InstantWaterHeaters</v>
      </c>
      <c r="E1262" t="s">
        <v>2047</v>
      </c>
      <c r="F1262" s="1">
        <v>5365</v>
      </c>
      <c r="G1262" s="1">
        <v>7445</v>
      </c>
      <c r="H1262" s="6">
        <v>28</v>
      </c>
      <c r="I1262">
        <v>3.9</v>
      </c>
      <c r="J1262" s="1">
        <v>3584</v>
      </c>
    </row>
    <row r="1263" spans="1:10">
      <c r="A1263" t="s">
        <v>2700</v>
      </c>
      <c r="B1263" t="s">
        <v>2701</v>
      </c>
      <c r="C1263" t="str">
        <f>LEFT(B1263,FIND(" ",B1263)-1)</f>
        <v>Black</v>
      </c>
      <c r="D1263" t="str">
        <f>TRIM(RIGHT(E1263,LEN(E1263)-FIND("@",SUBSTITUTE(E1263,"|","@",LEN(E1263)-LEN(SUBSTITUTE(E1263,"|",""))))))</f>
        <v>SteamIrons</v>
      </c>
      <c r="E1263" t="s">
        <v>2088</v>
      </c>
      <c r="F1263" s="1">
        <v>3199</v>
      </c>
      <c r="G1263" s="1">
        <v>3500</v>
      </c>
      <c r="H1263" s="6">
        <v>9</v>
      </c>
      <c r="I1263">
        <v>4.2</v>
      </c>
      <c r="J1263" s="1">
        <v>1899</v>
      </c>
    </row>
    <row r="1264" spans="1:10">
      <c r="A1264" t="s">
        <v>2702</v>
      </c>
      <c r="B1264" t="s">
        <v>2703</v>
      </c>
      <c r="C1264" t="str">
        <f>LEFT(B1264,FIND(" ",B1264)-1)</f>
        <v>Inalsa</v>
      </c>
      <c r="D1264" t="str">
        <f>TRIM(RIGHT(E1264,LEN(E1264)-FIND("@",SUBSTITUTE(E1264,"|","@",LEN(E1264)-LEN(SUBSTITUTE(E1264,"|",""))))))</f>
        <v>HandMixers</v>
      </c>
      <c r="E1264" t="s">
        <v>2403</v>
      </c>
      <c r="F1264">
        <v>979</v>
      </c>
      <c r="G1264" s="1">
        <v>1395</v>
      </c>
      <c r="H1264" s="6">
        <v>3</v>
      </c>
      <c r="I1264">
        <v>4.2</v>
      </c>
      <c r="J1264" s="1">
        <v>15252</v>
      </c>
    </row>
    <row r="1265" spans="1:10">
      <c r="A1265" t="s">
        <v>2704</v>
      </c>
      <c r="B1265" t="s">
        <v>2705</v>
      </c>
      <c r="C1265" t="str">
        <f>LEFT(B1265,FIND(" ",B1265)-1)</f>
        <v>Longway</v>
      </c>
      <c r="D1265" t="str">
        <f>TRIM(RIGHT(E1265,LEN(E1265)-FIND("@",SUBSTITUTE(E1265,"|","@",LEN(E1265)-LEN(SUBSTITUTE(E1265,"|",""))))))</f>
        <v>ElectricHeaters</v>
      </c>
      <c r="E1265" t="s">
        <v>2005</v>
      </c>
      <c r="F1265">
        <v>929</v>
      </c>
      <c r="G1265" s="1">
        <v>2199</v>
      </c>
      <c r="H1265" s="6">
        <v>58</v>
      </c>
      <c r="I1265">
        <v>3.7</v>
      </c>
      <c r="J1265">
        <v>4</v>
      </c>
    </row>
    <row r="1266" spans="1:10">
      <c r="A1266" t="s">
        <v>2706</v>
      </c>
      <c r="B1266" t="s">
        <v>2707</v>
      </c>
      <c r="C1266" t="str">
        <f>LEFT(B1266,FIND(" ",B1266)-1)</f>
        <v>Prestige</v>
      </c>
      <c r="D1266" t="str">
        <f>TRIM(RIGHT(E1266,LEN(E1266)-FIND("@",SUBSTITUTE(E1266,"|","@",LEN(E1266)-LEN(SUBSTITUTE(E1266,"|",""))))))</f>
        <v>WetGrinders</v>
      </c>
      <c r="E1266" t="s">
        <v>2414</v>
      </c>
      <c r="F1266" s="1">
        <v>3710</v>
      </c>
      <c r="G1266" s="1">
        <v>4330</v>
      </c>
      <c r="H1266" s="6">
        <v>14</v>
      </c>
      <c r="I1266">
        <v>3.7</v>
      </c>
      <c r="J1266" s="1">
        <v>1662</v>
      </c>
    </row>
    <row r="1267" spans="1:10">
      <c r="A1267" t="s">
        <v>2708</v>
      </c>
      <c r="B1267" t="s">
        <v>2709</v>
      </c>
      <c r="C1267" t="str">
        <f>LEFT(B1267,FIND(" ",B1267)-1)</f>
        <v>Pigeon</v>
      </c>
      <c r="D1267" t="str">
        <f>TRIM(RIGHT(E1267,LEN(E1267)-FIND("@",SUBSTITUTE(E1267,"|","@",LEN(E1267)-LEN(SUBSTITUTE(E1267,"|",""))))))</f>
        <v>MixerGrinders</v>
      </c>
      <c r="E1267" t="s">
        <v>2044</v>
      </c>
      <c r="F1267" s="1">
        <v>2033</v>
      </c>
      <c r="G1267" s="1">
        <v>4295</v>
      </c>
      <c r="H1267" s="6">
        <v>53</v>
      </c>
      <c r="I1267">
        <v>3.4</v>
      </c>
      <c r="J1267">
        <v>422</v>
      </c>
    </row>
    <row r="1268" spans="1:10">
      <c r="A1268" t="s">
        <v>2710</v>
      </c>
      <c r="B1268" t="s">
        <v>2711</v>
      </c>
      <c r="C1268" t="str">
        <f>LEFT(B1268,FIND(" ",B1268)-1)</f>
        <v>Borosil</v>
      </c>
      <c r="D1268" t="str">
        <f>TRIM(RIGHT(E1268,LEN(E1268)-FIND("@",SUBSTITUTE(E1268,"|","@",LEN(E1268)-LEN(SUBSTITUTE(E1268,"|",""))))))</f>
        <v>ElectricHeaters</v>
      </c>
      <c r="E1268" t="s">
        <v>2005</v>
      </c>
      <c r="F1268" s="1">
        <v>9495</v>
      </c>
      <c r="G1268" s="1">
        <v>18990</v>
      </c>
      <c r="H1268" s="6">
        <v>5</v>
      </c>
      <c r="I1268">
        <v>4.2</v>
      </c>
      <c r="J1268">
        <v>79</v>
      </c>
    </row>
    <row r="1269" spans="1:10">
      <c r="A1269" t="s">
        <v>2712</v>
      </c>
      <c r="B1269" t="s">
        <v>2713</v>
      </c>
      <c r="C1269" t="str">
        <f>LEFT(B1269,FIND(" ",B1269)-1)</f>
        <v>Crompton</v>
      </c>
      <c r="D1269" t="str">
        <f>TRIM(RIGHT(E1269,LEN(E1269)-FIND("@",SUBSTITUTE(E1269,"|","@",LEN(E1269)-LEN(SUBSTITUTE(E1269,"|",""))))))</f>
        <v>StorageWaterHeaters</v>
      </c>
      <c r="E1269" t="s">
        <v>2060</v>
      </c>
      <c r="F1269" s="1">
        <v>7799</v>
      </c>
      <c r="G1269" s="1">
        <v>12500</v>
      </c>
      <c r="H1269" s="6">
        <v>38</v>
      </c>
      <c r="I1269">
        <v>4</v>
      </c>
      <c r="J1269" s="1">
        <v>5160</v>
      </c>
    </row>
    <row r="1270" spans="1:10">
      <c r="A1270" t="s">
        <v>2714</v>
      </c>
      <c r="B1270" t="s">
        <v>2715</v>
      </c>
      <c r="C1270" t="str">
        <f>LEFT(B1270,FIND(" ",B1270)-1)</f>
        <v>Singer</v>
      </c>
      <c r="D1270" t="str">
        <f>TRIM(RIGHT(E1270,LEN(E1270)-FIND("@",SUBSTITUTE(E1270,"|","@",LEN(E1270)-LEN(SUBSTITUTE(E1270,"|",""))))))</f>
        <v>ElectricKettles</v>
      </c>
      <c r="E1270" t="s">
        <v>2001</v>
      </c>
      <c r="F1270">
        <v>949</v>
      </c>
      <c r="G1270" s="1">
        <v>2385</v>
      </c>
      <c r="H1270" s="6">
        <v>6</v>
      </c>
      <c r="I1270">
        <v>4.0999999999999996</v>
      </c>
      <c r="J1270" s="1">
        <v>2311</v>
      </c>
    </row>
    <row r="1271" spans="1:10">
      <c r="A1271" t="s">
        <v>2716</v>
      </c>
      <c r="B1271" t="s">
        <v>2717</v>
      </c>
      <c r="C1271" t="str">
        <f>LEFT(B1271,FIND(" ",B1271)-1)</f>
        <v>Orient</v>
      </c>
      <c r="D1271" t="str">
        <f>TRIM(RIGHT(E1271,LEN(E1271)-FIND("@",SUBSTITUTE(E1271,"|","@",LEN(E1271)-LEN(SUBSTITUTE(E1271,"|",""))))))</f>
        <v>InstantWaterHeaters</v>
      </c>
      <c r="E1271" t="s">
        <v>2047</v>
      </c>
      <c r="F1271" s="1">
        <v>2790</v>
      </c>
      <c r="G1271" s="1">
        <v>4890</v>
      </c>
      <c r="H1271" s="6">
        <v>43</v>
      </c>
      <c r="I1271">
        <v>3.9</v>
      </c>
      <c r="J1271">
        <v>588</v>
      </c>
    </row>
    <row r="1272" spans="1:10">
      <c r="A1272" t="s">
        <v>2718</v>
      </c>
      <c r="B1272" t="s">
        <v>2719</v>
      </c>
      <c r="C1272" t="str">
        <f>LEFT(B1272,FIND(" ",B1272)-1)</f>
        <v>Crompton</v>
      </c>
      <c r="D1272" t="str">
        <f>TRIM(RIGHT(E1272,LEN(E1272)-FIND("@",SUBSTITUTE(E1272,"|","@",LEN(E1272)-LEN(SUBSTITUTE(E1272,"|",""))))))</f>
        <v>DryIrons</v>
      </c>
      <c r="E1272" t="s">
        <v>2041</v>
      </c>
      <c r="F1272">
        <v>645</v>
      </c>
      <c r="G1272" s="1">
        <v>1100</v>
      </c>
      <c r="H1272" s="6">
        <v>41</v>
      </c>
      <c r="I1272">
        <v>4</v>
      </c>
      <c r="J1272" s="1">
        <v>3271</v>
      </c>
    </row>
    <row r="1273" spans="1:10">
      <c r="A1273" t="s">
        <v>2720</v>
      </c>
      <c r="B1273" t="s">
        <v>2721</v>
      </c>
      <c r="C1273" t="str">
        <f>LEFT(B1273,FIND(" ",B1273)-1)</f>
        <v>Butterfly</v>
      </c>
      <c r="D1273" t="str">
        <f>TRIM(RIGHT(E1273,LEN(E1273)-FIND("@",SUBSTITUTE(E1273,"|","@",LEN(E1273)-LEN(SUBSTITUTE(E1273,"|",""))))))</f>
        <v>MixerGrinders</v>
      </c>
      <c r="E1273" t="s">
        <v>2044</v>
      </c>
      <c r="F1273" s="3">
        <v>2237.81</v>
      </c>
      <c r="G1273" s="1">
        <v>3899</v>
      </c>
      <c r="H1273" s="6">
        <v>43</v>
      </c>
      <c r="I1273">
        <v>3.9</v>
      </c>
      <c r="J1273" s="1">
        <v>11004</v>
      </c>
    </row>
    <row r="1274" spans="1:10">
      <c r="A1274" t="s">
        <v>2722</v>
      </c>
      <c r="B1274" t="s">
        <v>2723</v>
      </c>
      <c r="C1274" t="str">
        <f>LEFT(B1274,FIND(" ",B1274)-1)</f>
        <v>Racold</v>
      </c>
      <c r="D1274" t="str">
        <f>TRIM(RIGHT(E1274,LEN(E1274)-FIND("@",SUBSTITUTE(E1274,"|","@",LEN(E1274)-LEN(SUBSTITUTE(E1274,"|",""))))))</f>
        <v>StorageWaterHeaters</v>
      </c>
      <c r="E1274" t="s">
        <v>2060</v>
      </c>
      <c r="F1274" s="1">
        <v>8699</v>
      </c>
      <c r="G1274" s="1">
        <v>16899</v>
      </c>
      <c r="H1274" s="6">
        <v>49</v>
      </c>
      <c r="I1274">
        <v>4.2</v>
      </c>
      <c r="J1274" s="1">
        <v>3195</v>
      </c>
    </row>
    <row r="1275" spans="1:10">
      <c r="A1275" t="s">
        <v>2724</v>
      </c>
      <c r="B1275" t="s">
        <v>2725</v>
      </c>
      <c r="C1275" t="str">
        <f>LEFT(B1275,FIND(" ",B1275)-1)</f>
        <v>LG</v>
      </c>
      <c r="D1275" t="str">
        <f>TRIM(RIGHT(E1275,LEN(E1275)-FIND("@",SUBSTITUTE(E1275,"|","@",LEN(E1275)-LEN(SUBSTITUTE(E1275,"|",""))))))</f>
        <v>Split-SystemAirConditioners</v>
      </c>
      <c r="E1275" t="s">
        <v>2726</v>
      </c>
      <c r="F1275" s="1">
        <v>42990</v>
      </c>
      <c r="G1275" s="1">
        <v>75990</v>
      </c>
      <c r="H1275" s="6">
        <v>43</v>
      </c>
      <c r="I1275">
        <v>4.3</v>
      </c>
      <c r="J1275" s="1">
        <v>3231</v>
      </c>
    </row>
    <row r="1276" spans="1:10">
      <c r="A1276" t="s">
        <v>2727</v>
      </c>
      <c r="B1276" t="s">
        <v>2728</v>
      </c>
      <c r="C1276" t="str">
        <f>LEFT(B1276,FIND(" ",B1276)-1)</f>
        <v>Eureka</v>
      </c>
      <c r="D1276" t="str">
        <f>TRIM(RIGHT(E1276,LEN(E1276)-FIND("@",SUBSTITUTE(E1276,"|","@",LEN(E1276)-LEN(SUBSTITUTE(E1276,"|",""))))))</f>
        <v>WaterPurifierAccessories</v>
      </c>
      <c r="E1276" t="s">
        <v>2249</v>
      </c>
      <c r="F1276">
        <v>825</v>
      </c>
      <c r="G1276">
        <v>825</v>
      </c>
      <c r="H1276" s="6">
        <v>0</v>
      </c>
      <c r="I1276">
        <v>4</v>
      </c>
      <c r="J1276" s="1">
        <v>3246</v>
      </c>
    </row>
    <row r="1277" spans="1:10">
      <c r="A1277" t="s">
        <v>2729</v>
      </c>
      <c r="B1277" t="s">
        <v>2730</v>
      </c>
      <c r="C1277" t="str">
        <f>LEFT(B1277,FIND(" ",B1277)-1)</f>
        <v>Green</v>
      </c>
      <c r="D1277" t="str">
        <f>TRIM(RIGHT(E1277,LEN(E1277)-FIND("@",SUBSTITUTE(E1277,"|","@",LEN(E1277)-LEN(SUBSTITUTE(E1277,"|",""))))))</f>
        <v>VacuumSealers</v>
      </c>
      <c r="E1277" t="s">
        <v>2171</v>
      </c>
      <c r="F1277">
        <v>161</v>
      </c>
      <c r="G1277">
        <v>300</v>
      </c>
      <c r="H1277" s="6">
        <v>46</v>
      </c>
      <c r="I1277">
        <v>2.6</v>
      </c>
      <c r="J1277">
        <v>24</v>
      </c>
    </row>
    <row r="1278" spans="1:10">
      <c r="A1278" t="s">
        <v>2731</v>
      </c>
      <c r="B1278" t="s">
        <v>2732</v>
      </c>
      <c r="C1278" t="str">
        <f>LEFT(B1278,FIND(" ",B1278)-1)</f>
        <v>SaleOn</v>
      </c>
      <c r="D1278" t="str">
        <f>TRIM(RIGHT(E1278,LEN(E1278)-FIND("@",SUBSTITUTE(E1278,"|","@",LEN(E1278)-LEN(SUBSTITUTE(E1278,"|",""))))))</f>
        <v>InductionCooktop</v>
      </c>
      <c r="E1278" t="s">
        <v>2029</v>
      </c>
      <c r="F1278">
        <v>697</v>
      </c>
      <c r="G1278" s="1">
        <v>1499</v>
      </c>
      <c r="H1278" s="6">
        <v>54</v>
      </c>
      <c r="I1278">
        <v>3.8</v>
      </c>
      <c r="J1278">
        <v>144</v>
      </c>
    </row>
    <row r="1279" spans="1:10">
      <c r="A1279" t="s">
        <v>2733</v>
      </c>
      <c r="B1279" t="s">
        <v>2734</v>
      </c>
      <c r="C1279" t="str">
        <f>LEFT(B1279,FIND(" ",B1279)-1)</f>
        <v>Sujata</v>
      </c>
      <c r="D1279" t="str">
        <f>TRIM(RIGHT(E1279,LEN(E1279)-FIND("@",SUBSTITUTE(E1279,"|","@",LEN(E1279)-LEN(SUBSTITUTE(E1279,"|",""))))))</f>
        <v>SmallApplianceParts&amp;Accessories</v>
      </c>
      <c r="E1279" t="s">
        <v>2735</v>
      </c>
      <c r="F1279">
        <v>688</v>
      </c>
      <c r="G1279">
        <v>747</v>
      </c>
      <c r="H1279" s="6">
        <v>8</v>
      </c>
      <c r="I1279">
        <v>4.5</v>
      </c>
      <c r="J1279" s="1">
        <v>2280</v>
      </c>
    </row>
    <row r="1280" spans="1:10">
      <c r="A1280" t="s">
        <v>2736</v>
      </c>
      <c r="B1280" t="s">
        <v>2737</v>
      </c>
      <c r="C1280" t="str">
        <f>LEFT(B1280,FIND(" ",B1280)-1)</f>
        <v>KHAITAN</v>
      </c>
      <c r="D1280" t="str">
        <f>TRIM(RIGHT(E1280,LEN(E1280)-FIND("@",SUBSTITUTE(E1280,"|","@",LEN(E1280)-LEN(SUBSTITUTE(E1280,"|",""))))))</f>
        <v>HalogenHeaters</v>
      </c>
      <c r="E1280" t="s">
        <v>2197</v>
      </c>
      <c r="F1280" s="1">
        <v>2199</v>
      </c>
      <c r="G1280" s="1">
        <v>3999</v>
      </c>
      <c r="H1280" s="6">
        <v>45</v>
      </c>
      <c r="I1280">
        <v>3.5</v>
      </c>
      <c r="J1280">
        <v>340</v>
      </c>
    </row>
    <row r="1281" spans="1:10">
      <c r="A1281" t="s">
        <v>2738</v>
      </c>
      <c r="B1281" t="s">
        <v>2739</v>
      </c>
      <c r="C1281" t="str">
        <f>LEFT(B1281,FIND(" ",B1281)-1)</f>
        <v>Kenstar</v>
      </c>
      <c r="D1281" t="str">
        <f>TRIM(RIGHT(E1281,LEN(E1281)-FIND("@",SUBSTITUTE(E1281,"|","@",LEN(E1281)-LEN(SUBSTITUTE(E1281,"|",""))))))</f>
        <v>FanHeaters</v>
      </c>
      <c r="E1281" t="s">
        <v>2008</v>
      </c>
      <c r="F1281" s="1">
        <v>6850</v>
      </c>
      <c r="G1281" s="1">
        <v>11990</v>
      </c>
      <c r="H1281" s="6">
        <v>43</v>
      </c>
      <c r="I1281">
        <v>3.9</v>
      </c>
      <c r="J1281">
        <v>144</v>
      </c>
    </row>
    <row r="1282" spans="1:10">
      <c r="A1282" t="s">
        <v>2740</v>
      </c>
      <c r="B1282" t="s">
        <v>2741</v>
      </c>
      <c r="C1282" t="str">
        <f>LEFT(B1282,FIND(" ",B1282)-1)</f>
        <v>NEXOMS</v>
      </c>
      <c r="D1282" t="str">
        <f>TRIM(RIGHT(E1282,LEN(E1282)-FIND("@",SUBSTITUTE(E1282,"|","@",LEN(E1282)-LEN(SUBSTITUTE(E1282,"|",""))))))</f>
        <v>InstantWaterHeaters</v>
      </c>
      <c r="E1282" t="s">
        <v>2047</v>
      </c>
      <c r="F1282" s="1">
        <v>2699</v>
      </c>
      <c r="G1282" s="1">
        <v>3799</v>
      </c>
      <c r="H1282" s="6">
        <v>29</v>
      </c>
      <c r="I1282">
        <v>4</v>
      </c>
      <c r="J1282">
        <v>727</v>
      </c>
    </row>
    <row r="1283" spans="1:10">
      <c r="A1283" t="s">
        <v>2742</v>
      </c>
      <c r="B1283" t="s">
        <v>2743</v>
      </c>
      <c r="C1283" t="str">
        <f>LEFT(B1283,FIND(" ",B1283)-1)</f>
        <v>JIALTO</v>
      </c>
      <c r="D1283" t="str">
        <f>TRIM(RIGHT(E1283,LEN(E1283)-FIND("@",SUBSTITUTE(E1283,"|","@",LEN(E1283)-LEN(SUBSTITUTE(E1283,"|",""))))))</f>
        <v>WaffleMakers&amp;Irons</v>
      </c>
      <c r="E1283" t="s">
        <v>2744</v>
      </c>
      <c r="F1283">
        <v>899</v>
      </c>
      <c r="G1283" s="1">
        <v>1999</v>
      </c>
      <c r="H1283" s="6">
        <v>55</v>
      </c>
      <c r="I1283">
        <v>4</v>
      </c>
      <c r="J1283">
        <v>832</v>
      </c>
    </row>
    <row r="1284" spans="1:10">
      <c r="A1284" t="s">
        <v>2745</v>
      </c>
      <c r="B1284" t="s">
        <v>2746</v>
      </c>
      <c r="C1284" t="str">
        <f>LEFT(B1284,FIND(" ",B1284)-1)</f>
        <v>Candes</v>
      </c>
      <c r="D1284" t="str">
        <f>TRIM(RIGHT(E1284,LEN(E1284)-FIND("@",SUBSTITUTE(E1284,"|","@",LEN(E1284)-LEN(SUBSTITUTE(E1284,"|",""))))))</f>
        <v>FanHeaters</v>
      </c>
      <c r="E1284" t="s">
        <v>2008</v>
      </c>
      <c r="F1284" s="1">
        <v>1090</v>
      </c>
      <c r="G1284" s="1">
        <v>2999</v>
      </c>
      <c r="H1284" s="6">
        <v>64</v>
      </c>
      <c r="I1284">
        <v>3.5</v>
      </c>
      <c r="J1284">
        <v>57</v>
      </c>
    </row>
    <row r="1285" spans="1:10">
      <c r="A1285" t="s">
        <v>2747</v>
      </c>
      <c r="B1285" t="s">
        <v>2748</v>
      </c>
      <c r="C1285" t="str">
        <f>LEFT(B1285,FIND(" ",B1285)-1)</f>
        <v>Ionix</v>
      </c>
      <c r="D1285" t="str">
        <f>TRIM(RIGHT(E1285,LEN(E1285)-FIND("@",SUBSTITUTE(E1285,"|","@",LEN(E1285)-LEN(SUBSTITUTE(E1285,"|",""))))))</f>
        <v>DigitalKitchenScales</v>
      </c>
      <c r="E1285" t="s">
        <v>2014</v>
      </c>
      <c r="F1285">
        <v>295</v>
      </c>
      <c r="G1285">
        <v>599</v>
      </c>
      <c r="H1285" s="6">
        <v>51</v>
      </c>
      <c r="I1285">
        <v>4</v>
      </c>
      <c r="J1285" s="1">
        <v>1644</v>
      </c>
    </row>
    <row r="1286" spans="1:10">
      <c r="A1286" t="s">
        <v>2749</v>
      </c>
      <c r="B1286" t="s">
        <v>2750</v>
      </c>
      <c r="C1286" t="str">
        <f>LEFT(B1286,FIND(" ",B1286)-1)</f>
        <v>Kitchen</v>
      </c>
      <c r="D1286" t="str">
        <f>TRIM(RIGHT(E1286,LEN(E1286)-FIND("@",SUBSTITUTE(E1286,"|","@",LEN(E1286)-LEN(SUBSTITUTE(E1286,"|",""))))))</f>
        <v>Kettle&amp;ToasterSets</v>
      </c>
      <c r="E1286" t="s">
        <v>2057</v>
      </c>
      <c r="F1286">
        <v>479</v>
      </c>
      <c r="G1286" s="1">
        <v>1999</v>
      </c>
      <c r="H1286" s="6">
        <v>76</v>
      </c>
      <c r="I1286">
        <v>3.4</v>
      </c>
      <c r="J1286" s="1">
        <v>1066</v>
      </c>
    </row>
    <row r="1287" spans="1:10">
      <c r="A1287" t="s">
        <v>2751</v>
      </c>
      <c r="B1287" t="s">
        <v>2752</v>
      </c>
      <c r="C1287" t="str">
        <f>LEFT(B1287,FIND(" ",B1287)-1)</f>
        <v>Racold</v>
      </c>
      <c r="D1287" t="str">
        <f>TRIM(RIGHT(E1287,LEN(E1287)-FIND("@",SUBSTITUTE(E1287,"|","@",LEN(E1287)-LEN(SUBSTITUTE(E1287,"|",""))))))</f>
        <v>InstantWaterHeaters</v>
      </c>
      <c r="E1287" t="s">
        <v>2047</v>
      </c>
      <c r="F1287" s="1">
        <v>2949</v>
      </c>
      <c r="G1287" s="1">
        <v>4849</v>
      </c>
      <c r="H1287" s="6">
        <v>39</v>
      </c>
      <c r="I1287">
        <v>4.2</v>
      </c>
      <c r="J1287" s="1">
        <v>7968</v>
      </c>
    </row>
    <row r="1288" spans="1:10">
      <c r="A1288" t="s">
        <v>2753</v>
      </c>
      <c r="B1288" t="s">
        <v>2754</v>
      </c>
      <c r="C1288" t="str">
        <f>LEFT(B1288,FIND(" ",B1288)-1)</f>
        <v>ESN</v>
      </c>
      <c r="D1288" t="str">
        <f>TRIM(RIGHT(E1288,LEN(E1288)-FIND("@",SUBSTITUTE(E1288,"|","@",LEN(E1288)-LEN(SUBSTITUTE(E1288,"|",""))))))</f>
        <v>ImmersionRods</v>
      </c>
      <c r="E1288" t="s">
        <v>2075</v>
      </c>
      <c r="F1288">
        <v>335</v>
      </c>
      <c r="G1288">
        <v>510</v>
      </c>
      <c r="H1288" s="6">
        <v>34</v>
      </c>
      <c r="I1288">
        <v>3.8</v>
      </c>
      <c r="J1288" s="1">
        <v>3195</v>
      </c>
    </row>
    <row r="1289" spans="1:10">
      <c r="A1289" t="s">
        <v>2755</v>
      </c>
      <c r="B1289" t="s">
        <v>2756</v>
      </c>
      <c r="C1289" t="str">
        <f>LEFT(B1289,FIND(" ",B1289)-1)</f>
        <v>PajakaÂ®</v>
      </c>
      <c r="D1289" t="str">
        <f>TRIM(RIGHT(E1289,LEN(E1289)-FIND("@",SUBSTITUTE(E1289,"|","@",LEN(E1289)-LEN(SUBSTITUTE(E1289,"|",""))))))</f>
        <v>DripCoffeeMachines</v>
      </c>
      <c r="E1289" t="s">
        <v>2244</v>
      </c>
      <c r="F1289">
        <v>293</v>
      </c>
      <c r="G1289">
        <v>499</v>
      </c>
      <c r="H1289" s="6">
        <v>41</v>
      </c>
      <c r="I1289">
        <v>4.0999999999999996</v>
      </c>
      <c r="J1289" s="1">
        <v>1456</v>
      </c>
    </row>
    <row r="1290" spans="1:10">
      <c r="A1290" t="s">
        <v>2757</v>
      </c>
      <c r="B1290" t="s">
        <v>2758</v>
      </c>
      <c r="C1290" t="str">
        <f>LEFT(B1290,FIND(" ",B1290)-1)</f>
        <v>Saiyam</v>
      </c>
      <c r="D1290" t="str">
        <f>TRIM(RIGHT(E1290,LEN(E1290)-FIND("@",SUBSTITUTE(E1290,"|","@",LEN(E1290)-LEN(SUBSTITUTE(E1290,"|",""))))))</f>
        <v>StovetopEspressoPots</v>
      </c>
      <c r="E1290" t="s">
        <v>2759</v>
      </c>
      <c r="F1290">
        <v>599</v>
      </c>
      <c r="G1290" s="1">
        <v>1299</v>
      </c>
      <c r="H1290" s="6">
        <v>54</v>
      </c>
      <c r="I1290">
        <v>4.2</v>
      </c>
      <c r="J1290">
        <v>590</v>
      </c>
    </row>
    <row r="1291" spans="1:10">
      <c r="A1291" t="s">
        <v>2760</v>
      </c>
      <c r="B1291" t="s">
        <v>2761</v>
      </c>
      <c r="C1291" t="str">
        <f>LEFT(B1291,FIND(" ",B1291)-1)</f>
        <v>KONVIO</v>
      </c>
      <c r="D1291" t="str">
        <f>TRIM(RIGHT(E1291,LEN(E1291)-FIND("@",SUBSTITUTE(E1291,"|","@",LEN(E1291)-LEN(SUBSTITUTE(E1291,"|",""))))))</f>
        <v>WaterPurifierAccessories</v>
      </c>
      <c r="E1291" t="s">
        <v>2249</v>
      </c>
      <c r="F1291">
        <v>499</v>
      </c>
      <c r="G1291">
        <v>999</v>
      </c>
      <c r="H1291" s="6">
        <v>5</v>
      </c>
      <c r="I1291">
        <v>4.3</v>
      </c>
      <c r="J1291" s="1">
        <v>1436</v>
      </c>
    </row>
    <row r="1292" spans="1:10">
      <c r="A1292" t="s">
        <v>2762</v>
      </c>
      <c r="B1292" t="s">
        <v>2763</v>
      </c>
      <c r="C1292" t="str">
        <f>LEFT(B1292,FIND(" ",B1292)-1)</f>
        <v>Havells</v>
      </c>
      <c r="D1292" t="str">
        <f>TRIM(RIGHT(E1292,LEN(E1292)-FIND("@",SUBSTITUTE(E1292,"|","@",LEN(E1292)-LEN(SUBSTITUTE(E1292,"|",""))))))</f>
        <v>DryIrons</v>
      </c>
      <c r="E1292" t="s">
        <v>2041</v>
      </c>
      <c r="F1292">
        <v>849</v>
      </c>
      <c r="G1292" s="1">
        <v>1190</v>
      </c>
      <c r="H1292" s="6">
        <v>29</v>
      </c>
      <c r="I1292">
        <v>4.2</v>
      </c>
      <c r="J1292" s="1">
        <v>4184</v>
      </c>
    </row>
    <row r="1293" spans="1:10">
      <c r="A1293" t="s">
        <v>2764</v>
      </c>
      <c r="B1293" t="s">
        <v>2765</v>
      </c>
      <c r="C1293" t="str">
        <f>LEFT(B1293,FIND(" ",B1293)-1)</f>
        <v>Raffles</v>
      </c>
      <c r="D1293" t="str">
        <f>TRIM(RIGHT(E1293,LEN(E1293)-FIND("@",SUBSTITUTE(E1293,"|","@",LEN(E1293)-LEN(SUBSTITUTE(E1293,"|",""))))))</f>
        <v>DripCoffeeMachines</v>
      </c>
      <c r="E1293" t="s">
        <v>2244</v>
      </c>
      <c r="F1293">
        <v>249</v>
      </c>
      <c r="G1293">
        <v>400</v>
      </c>
      <c r="H1293" s="6">
        <v>38</v>
      </c>
      <c r="I1293">
        <v>4.0999999999999996</v>
      </c>
      <c r="J1293">
        <v>693</v>
      </c>
    </row>
    <row r="1294" spans="1:10">
      <c r="A1294" t="s">
        <v>2766</v>
      </c>
      <c r="B1294" t="s">
        <v>2767</v>
      </c>
      <c r="C1294" t="str">
        <f>LEFT(B1294,FIND(" ",B1294)-1)</f>
        <v>IONIX</v>
      </c>
      <c r="D1294" t="str">
        <f>TRIM(RIGHT(E1294,LEN(E1294)-FIND("@",SUBSTITUTE(E1294,"|","@",LEN(E1294)-LEN(SUBSTITUTE(E1294,"|",""))))))</f>
        <v>WaterPurifierAccessories</v>
      </c>
      <c r="E1294" t="s">
        <v>2249</v>
      </c>
      <c r="F1294">
        <v>185</v>
      </c>
      <c r="G1294">
        <v>599</v>
      </c>
      <c r="H1294" s="6">
        <v>69</v>
      </c>
      <c r="I1294">
        <v>3.9</v>
      </c>
      <c r="J1294" s="1">
        <v>1306</v>
      </c>
    </row>
    <row r="1295" spans="1:10">
      <c r="A1295" t="s">
        <v>2768</v>
      </c>
      <c r="B1295" t="s">
        <v>2769</v>
      </c>
      <c r="C1295" t="str">
        <f>LEFT(B1295,FIND(" ",B1295)-1)</f>
        <v>KNYUC</v>
      </c>
      <c r="D1295" t="str">
        <f>TRIM(RIGHT(E1295,LEN(E1295)-FIND("@",SUBSTITUTE(E1295,"|","@",LEN(E1295)-LEN(SUBSTITUTE(E1295,"|",""))))))</f>
        <v>FanHeaters</v>
      </c>
      <c r="E1295" t="s">
        <v>2008</v>
      </c>
      <c r="F1295">
        <v>778</v>
      </c>
      <c r="G1295">
        <v>999</v>
      </c>
      <c r="H1295" s="6">
        <v>22</v>
      </c>
      <c r="I1295">
        <v>3.3</v>
      </c>
      <c r="J1295">
        <v>8</v>
      </c>
    </row>
    <row r="1296" spans="1:10">
      <c r="A1296" t="s">
        <v>2770</v>
      </c>
      <c r="B1296" t="s">
        <v>2771</v>
      </c>
      <c r="C1296" t="str">
        <f>LEFT(B1296,FIND(" ",B1296)-1)</f>
        <v>INKULTURE</v>
      </c>
      <c r="D1296" t="str">
        <f>TRIM(RIGHT(E1296,LEN(E1296)-FIND("@",SUBSTITUTE(E1296,"|","@",LEN(E1296)-LEN(SUBSTITUTE(E1296,"|",""))))))</f>
        <v>MeasuringSpoons</v>
      </c>
      <c r="E1296" t="s">
        <v>2772</v>
      </c>
      <c r="F1296">
        <v>279</v>
      </c>
      <c r="G1296">
        <v>699</v>
      </c>
      <c r="H1296" s="6">
        <v>6</v>
      </c>
      <c r="I1296">
        <v>4.3</v>
      </c>
      <c r="J1296" s="1">
        <v>2326</v>
      </c>
    </row>
    <row r="1297" spans="1:10">
      <c r="A1297" t="s">
        <v>2773</v>
      </c>
      <c r="B1297" t="s">
        <v>2774</v>
      </c>
      <c r="C1297" t="str">
        <f>LEFT(B1297,FIND(" ",B1297)-1)</f>
        <v>Macmillan</v>
      </c>
      <c r="D1297" t="str">
        <f>TRIM(RIGHT(E1297,LEN(E1297)-FIND("@",SUBSTITUTE(E1297,"|","@",LEN(E1297)-LEN(SUBSTITUTE(E1297,"|",""))))))</f>
        <v>WaterPurifierAccessories</v>
      </c>
      <c r="E1297" t="s">
        <v>2249</v>
      </c>
      <c r="F1297">
        <v>215</v>
      </c>
      <c r="G1297" s="1">
        <v>1499</v>
      </c>
      <c r="H1297" s="6">
        <v>86</v>
      </c>
      <c r="I1297">
        <v>3.9</v>
      </c>
      <c r="J1297" s="1">
        <v>1004</v>
      </c>
    </row>
    <row r="1298" spans="1:10">
      <c r="A1298" t="s">
        <v>2775</v>
      </c>
      <c r="B1298" t="s">
        <v>2776</v>
      </c>
      <c r="C1298" t="str">
        <f>LEFT(B1298,FIND(" ",B1298)-1)</f>
        <v>Havells</v>
      </c>
      <c r="D1298" t="str">
        <f>TRIM(RIGHT(E1298,LEN(E1298)-FIND("@",SUBSTITUTE(E1298,"|","@",LEN(E1298)-LEN(SUBSTITUTE(E1298,"|",""))))))</f>
        <v>DryIrons</v>
      </c>
      <c r="E1298" t="s">
        <v>2041</v>
      </c>
      <c r="F1298">
        <v>889</v>
      </c>
      <c r="G1298" s="1">
        <v>1295</v>
      </c>
      <c r="H1298" s="6">
        <v>31</v>
      </c>
      <c r="I1298">
        <v>4.3</v>
      </c>
      <c r="J1298" s="1">
        <v>6400</v>
      </c>
    </row>
    <row r="1299" spans="1:10">
      <c r="A1299" t="s">
        <v>2777</v>
      </c>
      <c r="B1299" t="s">
        <v>2778</v>
      </c>
      <c r="C1299" t="str">
        <f>LEFT(B1299,FIND(" ",B1299)-1)</f>
        <v>TEâ„¢</v>
      </c>
      <c r="D1299" t="str">
        <f>TRIM(RIGHT(E1299,LEN(E1299)-FIND("@",SUBSTITUTE(E1299,"|","@",LEN(E1299)-LEN(SUBSTITUTE(E1299,"|",""))))))</f>
        <v>InstantWaterHeaters</v>
      </c>
      <c r="E1299" t="s">
        <v>2047</v>
      </c>
      <c r="F1299" s="1">
        <v>1449</v>
      </c>
      <c r="G1299" s="1">
        <v>4999</v>
      </c>
      <c r="H1299" s="6">
        <v>71</v>
      </c>
      <c r="I1299">
        <v>3.6</v>
      </c>
      <c r="J1299">
        <v>63</v>
      </c>
    </row>
    <row r="1300" spans="1:10">
      <c r="A1300" t="s">
        <v>2779</v>
      </c>
      <c r="B1300" t="s">
        <v>2780</v>
      </c>
      <c r="C1300" t="str">
        <f>LEFT(B1300,FIND(" ",B1300)-1)</f>
        <v>ZIGMA</v>
      </c>
      <c r="D1300" t="str">
        <f>TRIM(RIGHT(E1300,LEN(E1300)-FIND("@",SUBSTITUTE(E1300,"|","@",LEN(E1300)-LEN(SUBSTITUTE(E1300,"|",""))))))</f>
        <v>InstantWaterHeaters</v>
      </c>
      <c r="E1300" t="s">
        <v>2047</v>
      </c>
      <c r="F1300" s="1">
        <v>1190</v>
      </c>
      <c r="G1300" s="1">
        <v>2550</v>
      </c>
      <c r="H1300" s="6">
        <v>53</v>
      </c>
      <c r="I1300">
        <v>3.8</v>
      </c>
      <c r="J1300" s="1">
        <v>1181</v>
      </c>
    </row>
    <row r="1301" spans="1:10">
      <c r="A1301" t="s">
        <v>2781</v>
      </c>
      <c r="B1301" t="s">
        <v>2782</v>
      </c>
      <c r="C1301" t="str">
        <f>LEFT(B1301,FIND(" ",B1301)-1)</f>
        <v>KENT</v>
      </c>
      <c r="D1301" t="str">
        <f>TRIM(RIGHT(E1301,LEN(E1301)-FIND("@",SUBSTITUTE(E1301,"|","@",LEN(E1301)-LEN(SUBSTITUTE(E1301,"|",""))))))</f>
        <v>WaterFilters&amp;Purifiers</v>
      </c>
      <c r="E1301" t="s">
        <v>2347</v>
      </c>
      <c r="F1301" s="1">
        <v>1799</v>
      </c>
      <c r="G1301" s="1">
        <v>1950</v>
      </c>
      <c r="H1301" s="6">
        <v>8</v>
      </c>
      <c r="I1301">
        <v>3.9</v>
      </c>
      <c r="J1301" s="1">
        <v>1888</v>
      </c>
    </row>
    <row r="1302" spans="1:10">
      <c r="A1302" t="s">
        <v>2783</v>
      </c>
      <c r="B1302" t="s">
        <v>2784</v>
      </c>
      <c r="C1302" t="str">
        <f>LEFT(B1302,FIND(" ",B1302)-1)</f>
        <v>Sujata</v>
      </c>
      <c r="D1302" t="str">
        <f>TRIM(RIGHT(E1302,LEN(E1302)-FIND("@",SUBSTITUTE(E1302,"|","@",LEN(E1302)-LEN(SUBSTITUTE(E1302,"|",""))))))</f>
        <v>MixerGrinders</v>
      </c>
      <c r="E1302" t="s">
        <v>2044</v>
      </c>
      <c r="F1302" s="1">
        <v>6120</v>
      </c>
      <c r="G1302" s="1">
        <v>8478</v>
      </c>
      <c r="H1302" s="6">
        <v>28</v>
      </c>
      <c r="I1302">
        <v>4.5999999999999996</v>
      </c>
      <c r="J1302" s="1">
        <v>6550</v>
      </c>
    </row>
    <row r="1303" spans="1:10">
      <c r="A1303" t="s">
        <v>2785</v>
      </c>
      <c r="B1303" t="s">
        <v>2786</v>
      </c>
      <c r="C1303" t="str">
        <f>LEFT(B1303,FIND(" ",B1303)-1)</f>
        <v>Lifelong</v>
      </c>
      <c r="D1303" t="str">
        <f>TRIM(RIGHT(E1303,LEN(E1303)-FIND("@",SUBSTITUTE(E1303,"|","@",LEN(E1303)-LEN(SUBSTITUTE(E1303,"|",""))))))</f>
        <v>MixerGrinders</v>
      </c>
      <c r="E1303" t="s">
        <v>2044</v>
      </c>
      <c r="F1303" s="1">
        <v>1799</v>
      </c>
      <c r="G1303" s="1">
        <v>3299</v>
      </c>
      <c r="H1303" s="6">
        <v>45</v>
      </c>
      <c r="I1303">
        <v>3.8</v>
      </c>
      <c r="J1303" s="1">
        <v>1846</v>
      </c>
    </row>
    <row r="1304" spans="1:10">
      <c r="A1304" t="s">
        <v>2787</v>
      </c>
      <c r="B1304" t="s">
        <v>2788</v>
      </c>
      <c r="C1304" t="str">
        <f>LEFT(B1304,FIND(" ",B1304)-1)</f>
        <v>TTK</v>
      </c>
      <c r="D1304" t="str">
        <f>TRIM(RIGHT(E1304,LEN(E1304)-FIND("@",SUBSTITUTE(E1304,"|","@",LEN(E1304)-LEN(SUBSTITUTE(E1304,"|",""))))))</f>
        <v>MixerGrinders</v>
      </c>
      <c r="E1304" t="s">
        <v>2044</v>
      </c>
      <c r="F1304" s="1">
        <v>2199</v>
      </c>
      <c r="G1304" s="1">
        <v>3895</v>
      </c>
      <c r="H1304" s="6">
        <v>44</v>
      </c>
      <c r="I1304">
        <v>3.9</v>
      </c>
      <c r="J1304" s="1">
        <v>1085</v>
      </c>
    </row>
    <row r="1305" spans="1:10">
      <c r="A1305" t="s">
        <v>2789</v>
      </c>
      <c r="B1305" t="s">
        <v>2790</v>
      </c>
      <c r="C1305" t="str">
        <f>LEFT(B1305,FIND(" ",B1305)-1)</f>
        <v>AGARO</v>
      </c>
      <c r="D1305" t="str">
        <f>TRIM(RIGHT(E1305,LEN(E1305)-FIND("@",SUBSTITUTE(E1305,"|","@",LEN(E1305)-LEN(SUBSTITUTE(E1305,"|",""))))))</f>
        <v>Rice&amp;PastaCookers</v>
      </c>
      <c r="E1305" t="s">
        <v>2263</v>
      </c>
      <c r="F1305" s="1">
        <v>3685</v>
      </c>
      <c r="G1305" s="1">
        <v>5495</v>
      </c>
      <c r="H1305" s="6">
        <v>33</v>
      </c>
      <c r="I1305">
        <v>4.0999999999999996</v>
      </c>
      <c r="J1305">
        <v>290</v>
      </c>
    </row>
    <row r="1306" spans="1:10">
      <c r="A1306" t="s">
        <v>2791</v>
      </c>
      <c r="B1306" t="s">
        <v>2792</v>
      </c>
      <c r="C1306" t="str">
        <f>LEFT(B1306,FIND(" ",B1306)-1)</f>
        <v>VAPJAÂ®</v>
      </c>
      <c r="D1306" t="str">
        <f>TRIM(RIGHT(E1306,LEN(E1306)-FIND("@",SUBSTITUTE(E1306,"|","@",LEN(E1306)-LEN(SUBSTITUTE(E1306,"|",""))))))</f>
        <v>JuicerMixerGrinders</v>
      </c>
      <c r="E1306" t="s">
        <v>2097</v>
      </c>
      <c r="F1306">
        <v>649</v>
      </c>
      <c r="G1306">
        <v>999</v>
      </c>
      <c r="H1306" s="6">
        <v>35</v>
      </c>
      <c r="I1306">
        <v>3.6</v>
      </c>
      <c r="J1306">
        <v>4</v>
      </c>
    </row>
    <row r="1307" spans="1:10">
      <c r="A1307" t="s">
        <v>2793</v>
      </c>
      <c r="B1307" t="s">
        <v>2794</v>
      </c>
      <c r="C1307" t="str">
        <f>LEFT(B1307,FIND(" ",B1307)-1)</f>
        <v>Philips</v>
      </c>
      <c r="D1307" t="str">
        <f>TRIM(RIGHT(E1307,LEN(E1307)-FIND("@",SUBSTITUTE(E1307,"|","@",LEN(E1307)-LEN(SUBSTITUTE(E1307,"|",""))))))</f>
        <v>OvenToasterGrills</v>
      </c>
      <c r="E1307" t="s">
        <v>2417</v>
      </c>
      <c r="F1307" s="1">
        <v>8599</v>
      </c>
      <c r="G1307" s="1">
        <v>8995</v>
      </c>
      <c r="H1307" s="6">
        <v>4</v>
      </c>
      <c r="I1307">
        <v>4.4000000000000004</v>
      </c>
      <c r="J1307" s="1">
        <v>9734</v>
      </c>
    </row>
    <row r="1308" spans="1:10">
      <c r="A1308" t="s">
        <v>2795</v>
      </c>
      <c r="B1308" t="s">
        <v>2796</v>
      </c>
      <c r="C1308" t="str">
        <f>LEFT(B1308,FIND(" ",B1308)-1)</f>
        <v>Usha</v>
      </c>
      <c r="D1308" t="str">
        <f>TRIM(RIGHT(E1308,LEN(E1308)-FIND("@",SUBSTITUTE(E1308,"|","@",LEN(E1308)-LEN(SUBSTITUTE(E1308,"|",""))))))</f>
        <v>DryIrons</v>
      </c>
      <c r="E1308" t="s">
        <v>2041</v>
      </c>
      <c r="F1308" s="1">
        <v>1110</v>
      </c>
      <c r="G1308" s="1">
        <v>1599</v>
      </c>
      <c r="H1308" s="6">
        <v>31</v>
      </c>
      <c r="I1308">
        <v>4.3</v>
      </c>
      <c r="J1308" s="1">
        <v>4022</v>
      </c>
    </row>
    <row r="1309" spans="1:10">
      <c r="A1309" t="s">
        <v>2797</v>
      </c>
      <c r="B1309" t="s">
        <v>2798</v>
      </c>
      <c r="C1309" t="str">
        <f>LEFT(B1309,FIND(" ",B1309)-1)</f>
        <v>Campfire</v>
      </c>
      <c r="D1309" t="str">
        <f>TRIM(RIGHT(E1309,LEN(E1309)-FIND("@",SUBSTITUTE(E1309,"|","@",LEN(E1309)-LEN(SUBSTITUTE(E1309,"|",""))))))</f>
        <v>InstantWaterHeaters</v>
      </c>
      <c r="E1309" t="s">
        <v>2047</v>
      </c>
      <c r="F1309" s="1">
        <v>1499</v>
      </c>
      <c r="G1309" s="1">
        <v>3500</v>
      </c>
      <c r="H1309" s="6">
        <v>57</v>
      </c>
      <c r="I1309">
        <v>4.7</v>
      </c>
      <c r="J1309" s="1">
        <v>2591</v>
      </c>
    </row>
    <row r="1310" spans="1:10">
      <c r="A1310" t="s">
        <v>2799</v>
      </c>
      <c r="B1310" t="s">
        <v>2800</v>
      </c>
      <c r="C1310" t="str">
        <f>LEFT(B1310,FIND(" ",B1310)-1)</f>
        <v>Themisto</v>
      </c>
      <c r="D1310" t="str">
        <f>TRIM(RIGHT(E1310,LEN(E1310)-FIND("@",SUBSTITUTE(E1310,"|","@",LEN(E1310)-LEN(SUBSTITUTE(E1310,"|",""))))))</f>
        <v>DigitalKitchenScales</v>
      </c>
      <c r="E1310" t="s">
        <v>2014</v>
      </c>
      <c r="F1310">
        <v>759</v>
      </c>
      <c r="G1310" s="1">
        <v>1999</v>
      </c>
      <c r="H1310" s="6">
        <v>62</v>
      </c>
      <c r="I1310">
        <v>4.3</v>
      </c>
      <c r="J1310">
        <v>532</v>
      </c>
    </row>
    <row r="1311" spans="1:10">
      <c r="A1311" t="s">
        <v>2801</v>
      </c>
      <c r="B1311" t="s">
        <v>2802</v>
      </c>
      <c r="C1311" t="str">
        <f>LEFT(B1311,FIND(" ",B1311)-1)</f>
        <v>FYA</v>
      </c>
      <c r="D1311" t="str">
        <f>TRIM(RIGHT(E1311,LEN(E1311)-FIND("@",SUBSTITUTE(E1311,"|","@",LEN(E1311)-LEN(SUBSTITUTE(E1311,"|",""))))))</f>
        <v>HandheldVacuums</v>
      </c>
      <c r="E1311" t="s">
        <v>2104</v>
      </c>
      <c r="F1311" s="1">
        <v>2669</v>
      </c>
      <c r="G1311" s="1">
        <v>3199</v>
      </c>
      <c r="H1311" s="6">
        <v>17</v>
      </c>
      <c r="I1311">
        <v>3.9</v>
      </c>
      <c r="J1311">
        <v>260</v>
      </c>
    </row>
    <row r="1312" spans="1:10">
      <c r="A1312" t="s">
        <v>2803</v>
      </c>
      <c r="B1312" t="s">
        <v>2804</v>
      </c>
      <c r="C1312" t="str">
        <f>LEFT(B1312,FIND(" ",B1312)-1)</f>
        <v>Lifelong</v>
      </c>
      <c r="D1312" t="str">
        <f>TRIM(RIGHT(E1312,LEN(E1312)-FIND("@",SUBSTITUTE(E1312,"|","@",LEN(E1312)-LEN(SUBSTITUTE(E1312,"|",""))))))</f>
        <v>SandwichMakers</v>
      </c>
      <c r="E1312" t="s">
        <v>2124</v>
      </c>
      <c r="F1312">
        <v>929</v>
      </c>
      <c r="G1312" s="1">
        <v>1300</v>
      </c>
      <c r="H1312" s="6">
        <v>29</v>
      </c>
      <c r="I1312">
        <v>3.9</v>
      </c>
      <c r="J1312" s="1">
        <v>1672</v>
      </c>
    </row>
    <row r="1313" spans="1:10">
      <c r="A1313" t="s">
        <v>2805</v>
      </c>
      <c r="B1313" t="s">
        <v>2806</v>
      </c>
      <c r="C1313" t="str">
        <f>LEFT(B1313,FIND(" ",B1313)-1)</f>
        <v>Kuber</v>
      </c>
      <c r="D1313" t="str">
        <f>TRIM(RIGHT(E1313,LEN(E1313)-FIND("@",SUBSTITUTE(E1313,"|","@",LEN(E1313)-LEN(SUBSTITUTE(E1313,"|",""))))))</f>
        <v>LaundryBaskets</v>
      </c>
      <c r="E1313" t="s">
        <v>2085</v>
      </c>
      <c r="F1313">
        <v>199</v>
      </c>
      <c r="G1313">
        <v>399</v>
      </c>
      <c r="H1313" s="6">
        <v>5</v>
      </c>
      <c r="I1313">
        <v>3.7</v>
      </c>
      <c r="J1313" s="1">
        <v>7945</v>
      </c>
    </row>
    <row r="1314" spans="1:10">
      <c r="A1314" t="s">
        <v>2807</v>
      </c>
      <c r="B1314" t="s">
        <v>2808</v>
      </c>
      <c r="C1314" t="str">
        <f>LEFT(B1314,FIND(" ",B1314)-1)</f>
        <v>Bulfyss</v>
      </c>
      <c r="D1314" t="str">
        <f>TRIM(RIGHT(E1314,LEN(E1314)-FIND("@",SUBSTITUTE(E1314,"|","@",LEN(E1314)-LEN(SUBSTITUTE(E1314,"|",""))))))</f>
        <v>LintShavers</v>
      </c>
      <c r="E1314" t="s">
        <v>2011</v>
      </c>
      <c r="F1314">
        <v>279</v>
      </c>
      <c r="G1314">
        <v>599</v>
      </c>
      <c r="H1314" s="6">
        <v>53</v>
      </c>
      <c r="I1314">
        <v>3.5</v>
      </c>
      <c r="J1314" s="1">
        <v>1367</v>
      </c>
    </row>
    <row r="1315" spans="1:10">
      <c r="A1315" t="s">
        <v>2809</v>
      </c>
      <c r="B1315" t="s">
        <v>2810</v>
      </c>
      <c r="C1315" t="str">
        <f>LEFT(B1315,FIND(" ",B1315)-1)</f>
        <v>T</v>
      </c>
      <c r="D1315" t="str">
        <f>TRIM(RIGHT(E1315,LEN(E1315)-FIND("@",SUBSTITUTE(E1315,"|","@",LEN(E1315)-LEN(SUBSTITUTE(E1315,"|",""))))))</f>
        <v>HandBlenders</v>
      </c>
      <c r="E1315" t="s">
        <v>2038</v>
      </c>
      <c r="F1315">
        <v>549</v>
      </c>
      <c r="G1315">
        <v>999</v>
      </c>
      <c r="H1315" s="6">
        <v>45</v>
      </c>
      <c r="I1315">
        <v>4</v>
      </c>
      <c r="J1315" s="1">
        <v>1313</v>
      </c>
    </row>
    <row r="1316" spans="1:10">
      <c r="A1316" t="s">
        <v>2811</v>
      </c>
      <c r="B1316" t="s">
        <v>2812</v>
      </c>
      <c r="C1316" t="str">
        <f>LEFT(B1316,FIND(" ",B1316)-1)</f>
        <v>Empty</v>
      </c>
      <c r="D1316" t="str">
        <f>TRIM(RIGHT(E1316,LEN(E1316)-FIND("@",SUBSTITUTE(E1316,"|","@",LEN(E1316)-LEN(SUBSTITUTE(E1316,"|",""))))))</f>
        <v>SprayBottles</v>
      </c>
      <c r="E1316" t="s">
        <v>2396</v>
      </c>
      <c r="F1316">
        <v>85</v>
      </c>
      <c r="G1316">
        <v>199</v>
      </c>
      <c r="H1316" s="6">
        <v>57</v>
      </c>
      <c r="I1316">
        <v>4.0999999999999996</v>
      </c>
      <c r="J1316">
        <v>212</v>
      </c>
    </row>
    <row r="1317" spans="1:10">
      <c r="A1317" t="s">
        <v>2813</v>
      </c>
      <c r="B1317" t="s">
        <v>2814</v>
      </c>
      <c r="C1317" t="str">
        <f>LEFT(B1317,FIND(" ",B1317)-1)</f>
        <v>LONAXA</v>
      </c>
      <c r="D1317" t="str">
        <f>TRIM(RIGHT(E1317,LEN(E1317)-FIND("@",SUBSTITUTE(E1317,"|","@",LEN(E1317)-LEN(SUBSTITUTE(E1317,"|",""))))))</f>
        <v>JuicerMixerGrinders</v>
      </c>
      <c r="E1317" t="s">
        <v>2097</v>
      </c>
      <c r="F1317">
        <v>499</v>
      </c>
      <c r="G1317" s="1">
        <v>1299</v>
      </c>
      <c r="H1317" s="6">
        <v>62</v>
      </c>
      <c r="I1317">
        <v>3.9</v>
      </c>
      <c r="J1317">
        <v>65</v>
      </c>
    </row>
    <row r="1318" spans="1:10">
      <c r="A1318" t="s">
        <v>2815</v>
      </c>
      <c r="B1318" t="s">
        <v>2816</v>
      </c>
      <c r="C1318" t="str">
        <f>LEFT(B1318,FIND(" ",B1318)-1)</f>
        <v>SUJATA</v>
      </c>
      <c r="D1318" t="str">
        <f>TRIM(RIGHT(E1318,LEN(E1318)-FIND("@",SUBSTITUTE(E1318,"|","@",LEN(E1318)-LEN(SUBSTITUTE(E1318,"|",""))))))</f>
        <v>JuicerMixerGrinders</v>
      </c>
      <c r="E1318" t="s">
        <v>2097</v>
      </c>
      <c r="F1318" s="1">
        <v>5865</v>
      </c>
      <c r="G1318" s="1">
        <v>7776</v>
      </c>
      <c r="H1318" s="6">
        <v>25</v>
      </c>
      <c r="I1318">
        <v>4.4000000000000004</v>
      </c>
      <c r="J1318" s="1">
        <v>2737</v>
      </c>
    </row>
    <row r="1319" spans="1:10">
      <c r="A1319" t="s">
        <v>2817</v>
      </c>
      <c r="B1319" t="s">
        <v>2818</v>
      </c>
      <c r="C1319" t="str">
        <f>LEFT(B1319,FIND(" ",B1319)-1)</f>
        <v>AGARO</v>
      </c>
      <c r="D1319" t="str">
        <f>TRIM(RIGHT(E1319,LEN(E1319)-FIND("@",SUBSTITUTE(E1319,"|","@",LEN(E1319)-LEN(SUBSTITUTE(E1319,"|",""))))))</f>
        <v>ElectricKettles</v>
      </c>
      <c r="E1319" t="s">
        <v>2001</v>
      </c>
      <c r="F1319" s="1">
        <v>1260</v>
      </c>
      <c r="G1319" s="1">
        <v>2299</v>
      </c>
      <c r="H1319" s="6">
        <v>45</v>
      </c>
      <c r="I1319">
        <v>4.3</v>
      </c>
      <c r="J1319">
        <v>55</v>
      </c>
    </row>
    <row r="1320" spans="1:10">
      <c r="A1320" t="s">
        <v>2819</v>
      </c>
      <c r="B1320" t="s">
        <v>2820</v>
      </c>
      <c r="C1320" t="str">
        <f>LEFT(B1320,FIND(" ",B1320)-1)</f>
        <v>Cafe</v>
      </c>
      <c r="D1320" t="str">
        <f>TRIM(RIGHT(E1320,LEN(E1320)-FIND("@",SUBSTITUTE(E1320,"|","@",LEN(E1320)-LEN(SUBSTITUTE(E1320,"|",""))))))</f>
        <v>CoffeePresses</v>
      </c>
      <c r="E1320" t="s">
        <v>2821</v>
      </c>
      <c r="F1320" s="1">
        <v>1099</v>
      </c>
      <c r="G1320" s="1">
        <v>1500</v>
      </c>
      <c r="H1320" s="6">
        <v>27</v>
      </c>
      <c r="I1320">
        <v>4.5</v>
      </c>
      <c r="J1320" s="1">
        <v>1065</v>
      </c>
    </row>
    <row r="1321" spans="1:10">
      <c r="A1321" t="s">
        <v>2822</v>
      </c>
      <c r="B1321" t="s">
        <v>2823</v>
      </c>
      <c r="C1321" t="str">
        <f>LEFT(B1321,FIND(" ",B1321)-1)</f>
        <v>Borosil</v>
      </c>
      <c r="D1321" t="str">
        <f>TRIM(RIGHT(E1321,LEN(E1321)-FIND("@",SUBSTITUTE(E1321,"|","@",LEN(E1321)-LEN(SUBSTITUTE(E1321,"|",""))))))</f>
        <v>SandwichMakers</v>
      </c>
      <c r="E1321" t="s">
        <v>2124</v>
      </c>
      <c r="F1321" s="1">
        <v>1928</v>
      </c>
      <c r="G1321" s="1">
        <v>2590</v>
      </c>
      <c r="H1321" s="6">
        <v>26</v>
      </c>
      <c r="I1321">
        <v>4</v>
      </c>
      <c r="J1321" s="1">
        <v>2377</v>
      </c>
    </row>
    <row r="1322" spans="1:10">
      <c r="A1322" t="s">
        <v>2824</v>
      </c>
      <c r="B1322" t="s">
        <v>2825</v>
      </c>
      <c r="C1322" t="str">
        <f>LEFT(B1322,FIND(" ",B1322)-1)</f>
        <v>Candes</v>
      </c>
      <c r="D1322" t="str">
        <f>TRIM(RIGHT(E1322,LEN(E1322)-FIND("@",SUBSTITUTE(E1322,"|","@",LEN(E1322)-LEN(SUBSTITUTE(E1322,"|",""))))))</f>
        <v>StorageWaterHeaters</v>
      </c>
      <c r="E1322" t="s">
        <v>2060</v>
      </c>
      <c r="F1322" s="1">
        <v>3249</v>
      </c>
      <c r="G1322" s="1">
        <v>6299</v>
      </c>
      <c r="H1322" s="6">
        <v>48</v>
      </c>
      <c r="I1322">
        <v>3.9</v>
      </c>
      <c r="J1322" s="1">
        <v>2569</v>
      </c>
    </row>
    <row r="1323" spans="1:10">
      <c r="A1323" t="s">
        <v>2826</v>
      </c>
      <c r="B1323" t="s">
        <v>2827</v>
      </c>
      <c r="C1323" t="str">
        <f>LEFT(B1323,FIND(" ",B1323)-1)</f>
        <v>Prestige</v>
      </c>
      <c r="D1323" t="str">
        <f>TRIM(RIGHT(E1323,LEN(E1323)-FIND("@",SUBSTITUTE(E1323,"|","@",LEN(E1323)-LEN(SUBSTITUTE(E1323,"|",""))))))</f>
        <v>SandwichMakers</v>
      </c>
      <c r="E1323" t="s">
        <v>2124</v>
      </c>
      <c r="F1323" s="1">
        <v>1199</v>
      </c>
      <c r="G1323" s="1">
        <v>1795</v>
      </c>
      <c r="H1323" s="6">
        <v>33</v>
      </c>
      <c r="I1323">
        <v>4.2</v>
      </c>
      <c r="J1323" s="1">
        <v>5967</v>
      </c>
    </row>
    <row r="1324" spans="1:10">
      <c r="A1324" t="s">
        <v>2828</v>
      </c>
      <c r="B1324" t="s">
        <v>2829</v>
      </c>
      <c r="C1324" t="str">
        <f>LEFT(B1324,FIND(" ",B1324)-1)</f>
        <v>iBELL</v>
      </c>
      <c r="D1324" t="str">
        <f>TRIM(RIGHT(E1324,LEN(E1324)-FIND("@",SUBSTITUTE(E1324,"|","@",LEN(E1324)-LEN(SUBSTITUTE(E1324,"|",""))))))</f>
        <v>ElectricKettles</v>
      </c>
      <c r="E1324" t="s">
        <v>2001</v>
      </c>
      <c r="F1324" s="1">
        <v>1456</v>
      </c>
      <c r="G1324" s="1">
        <v>3190</v>
      </c>
      <c r="H1324" s="6">
        <v>54</v>
      </c>
      <c r="I1324">
        <v>4.0999999999999996</v>
      </c>
      <c r="J1324" s="1">
        <v>1776</v>
      </c>
    </row>
    <row r="1325" spans="1:10">
      <c r="A1325" t="s">
        <v>2830</v>
      </c>
      <c r="B1325" t="s">
        <v>2831</v>
      </c>
      <c r="C1325" t="str">
        <f>LEFT(B1325,FIND(" ",B1325)-1)</f>
        <v>Maharaja</v>
      </c>
      <c r="D1325" t="str">
        <f>TRIM(RIGHT(E1325,LEN(E1325)-FIND("@",SUBSTITUTE(E1325,"|","@",LEN(E1325)-LEN(SUBSTITUTE(E1325,"|",""))))))</f>
        <v>JuicerMixerGrinders</v>
      </c>
      <c r="E1325" t="s">
        <v>2097</v>
      </c>
      <c r="F1325" s="1">
        <v>3349</v>
      </c>
      <c r="G1325" s="1">
        <v>4799</v>
      </c>
      <c r="H1325" s="6">
        <v>3</v>
      </c>
      <c r="I1325">
        <v>3.7</v>
      </c>
      <c r="J1325" s="1">
        <v>4200</v>
      </c>
    </row>
    <row r="1326" spans="1:10">
      <c r="A1326" t="s">
        <v>2832</v>
      </c>
      <c r="B1326" t="s">
        <v>2833</v>
      </c>
      <c r="C1326" t="str">
        <f>LEFT(B1326,FIND(" ",B1326)-1)</f>
        <v>Shakti</v>
      </c>
      <c r="D1326" t="str">
        <f>TRIM(RIGHT(E1326,LEN(E1326)-FIND("@",SUBSTITUTE(E1326,"|","@",LEN(E1326)-LEN(SUBSTITUTE(E1326,"|",""))))))</f>
        <v>PressureWashers,Steam&amp;WindowCleaners</v>
      </c>
      <c r="E1326" t="s">
        <v>2194</v>
      </c>
      <c r="F1326" s="1">
        <v>4899</v>
      </c>
      <c r="G1326" s="1">
        <v>8999</v>
      </c>
      <c r="H1326" s="6">
        <v>46</v>
      </c>
      <c r="I1326">
        <v>4.0999999999999996</v>
      </c>
      <c r="J1326">
        <v>297</v>
      </c>
    </row>
    <row r="1327" spans="1:10">
      <c r="A1327" t="s">
        <v>2834</v>
      </c>
      <c r="B1327" t="s">
        <v>2835</v>
      </c>
      <c r="C1327" t="str">
        <f>LEFT(B1327,FIND(" ",B1327)-1)</f>
        <v>Cello</v>
      </c>
      <c r="D1327" t="str">
        <f>TRIM(RIGHT(E1327,LEN(E1327)-FIND("@",SUBSTITUTE(E1327,"|","@",LEN(E1327)-LEN(SUBSTITUTE(E1327,"|",""))))))</f>
        <v>Kettle&amp;ToasterSets</v>
      </c>
      <c r="E1327" t="s">
        <v>2057</v>
      </c>
      <c r="F1327" s="1">
        <v>1199</v>
      </c>
      <c r="G1327" s="1">
        <v>1899</v>
      </c>
      <c r="H1327" s="6">
        <v>37</v>
      </c>
      <c r="I1327">
        <v>4.2</v>
      </c>
      <c r="J1327" s="1">
        <v>3858</v>
      </c>
    </row>
    <row r="1328" spans="1:10">
      <c r="A1328" t="s">
        <v>2836</v>
      </c>
      <c r="B1328" t="s">
        <v>2837</v>
      </c>
      <c r="C1328" t="str">
        <f>LEFT(B1328,FIND(" ",B1328)-1)</f>
        <v>AGARO</v>
      </c>
      <c r="D1328" t="str">
        <f>TRIM(RIGHT(E1328,LEN(E1328)-FIND("@",SUBSTITUTE(E1328,"|","@",LEN(E1328)-LEN(SUBSTITUTE(E1328,"|",""))))))</f>
        <v>Humidifiers</v>
      </c>
      <c r="E1328" t="s">
        <v>2560</v>
      </c>
      <c r="F1328" s="1">
        <v>3290</v>
      </c>
      <c r="G1328" s="1">
        <v>5799</v>
      </c>
      <c r="H1328" s="6">
        <v>43</v>
      </c>
      <c r="I1328">
        <v>4.3</v>
      </c>
      <c r="J1328">
        <v>168</v>
      </c>
    </row>
    <row r="1329" spans="1:10">
      <c r="A1329" t="s">
        <v>2838</v>
      </c>
      <c r="B1329" t="s">
        <v>2839</v>
      </c>
      <c r="C1329" t="str">
        <f>LEFT(B1329,FIND(" ",B1329)-1)</f>
        <v>Wolpin</v>
      </c>
      <c r="D1329" t="str">
        <f>TRIM(RIGHT(E1329,LEN(E1329)-FIND("@",SUBSTITUTE(E1329,"|","@",LEN(E1329)-LEN(SUBSTITUTE(E1329,"|",""))))))</f>
        <v>LintShavers</v>
      </c>
      <c r="E1329" t="s">
        <v>2011</v>
      </c>
      <c r="F1329">
        <v>179</v>
      </c>
      <c r="G1329">
        <v>799</v>
      </c>
      <c r="H1329" s="6">
        <v>78</v>
      </c>
      <c r="I1329">
        <v>3.6</v>
      </c>
      <c r="J1329">
        <v>101</v>
      </c>
    </row>
    <row r="1330" spans="1:10">
      <c r="A1330" t="s">
        <v>2840</v>
      </c>
      <c r="B1330" t="s">
        <v>2841</v>
      </c>
      <c r="C1330" t="str">
        <f>LEFT(B1330,FIND(" ",B1330)-1)</f>
        <v>Abode</v>
      </c>
      <c r="D1330" t="str">
        <f>TRIM(RIGHT(E1330,LEN(E1330)-FIND("@",SUBSTITUTE(E1330,"|","@",LEN(E1330)-LEN(SUBSTITUTE(E1330,"|",""))))))</f>
        <v>MeasuringSpoons</v>
      </c>
      <c r="E1330" t="s">
        <v>2772</v>
      </c>
      <c r="F1330">
        <v>149</v>
      </c>
      <c r="G1330">
        <v>300</v>
      </c>
      <c r="H1330" s="6">
        <v>5</v>
      </c>
      <c r="I1330">
        <v>4.0999999999999996</v>
      </c>
      <c r="J1330" s="1">
        <v>4074</v>
      </c>
    </row>
    <row r="1331" spans="1:10">
      <c r="A1331" t="s">
        <v>2842</v>
      </c>
      <c r="B1331" t="s">
        <v>2843</v>
      </c>
      <c r="C1331" t="str">
        <f>LEFT(B1331,FIND(" ",B1331)-1)</f>
        <v>Sujata</v>
      </c>
      <c r="D1331" t="str">
        <f>TRIM(RIGHT(E1331,LEN(E1331)-FIND("@",SUBSTITUTE(E1331,"|","@",LEN(E1331)-LEN(SUBSTITUTE(E1331,"|",""))))))</f>
        <v>MixerGrinders</v>
      </c>
      <c r="E1331" t="s">
        <v>2044</v>
      </c>
      <c r="F1331" s="1">
        <v>5490</v>
      </c>
      <c r="G1331" s="1">
        <v>7200</v>
      </c>
      <c r="H1331" s="6">
        <v>24</v>
      </c>
      <c r="I1331">
        <v>4.5</v>
      </c>
      <c r="J1331" s="1">
        <v>1408</v>
      </c>
    </row>
    <row r="1332" spans="1:10">
      <c r="A1332" t="s">
        <v>2844</v>
      </c>
      <c r="B1332" t="s">
        <v>2845</v>
      </c>
      <c r="C1332" t="str">
        <f>LEFT(B1332,FIND(" ",B1332)-1)</f>
        <v>CARDEX</v>
      </c>
      <c r="D1332" t="str">
        <f>TRIM(RIGHT(E1332,LEN(E1332)-FIND("@",SUBSTITUTE(E1332,"|","@",LEN(E1332)-LEN(SUBSTITUTE(E1332,"|",""))))))</f>
        <v>DigitalKitchenScales</v>
      </c>
      <c r="E1332" t="s">
        <v>2014</v>
      </c>
      <c r="F1332">
        <v>379</v>
      </c>
      <c r="G1332">
        <v>389</v>
      </c>
      <c r="H1332" s="6">
        <v>3</v>
      </c>
      <c r="I1332">
        <v>4.2</v>
      </c>
      <c r="J1332" s="1">
        <v>3739</v>
      </c>
    </row>
    <row r="1333" spans="1:10">
      <c r="A1333" t="s">
        <v>2846</v>
      </c>
      <c r="B1333" t="s">
        <v>2847</v>
      </c>
      <c r="C1333" t="str">
        <f>LEFT(B1333,FIND(" ",B1333)-1)</f>
        <v>V-Guard</v>
      </c>
      <c r="D1333" t="str">
        <f>TRIM(RIGHT(E1333,LEN(E1333)-FIND("@",SUBSTITUTE(E1333,"|","@",LEN(E1333)-LEN(SUBSTITUTE(E1333,"|",""))))))</f>
        <v>WaterFilters&amp;Purifiers</v>
      </c>
      <c r="E1333" t="s">
        <v>2347</v>
      </c>
      <c r="F1333" s="1">
        <v>8699</v>
      </c>
      <c r="G1333" s="1">
        <v>13049</v>
      </c>
      <c r="H1333" s="6">
        <v>33</v>
      </c>
      <c r="I1333">
        <v>4.3</v>
      </c>
      <c r="J1333" s="1">
        <v>5891</v>
      </c>
    </row>
    <row r="1334" spans="1:10">
      <c r="A1334" t="s">
        <v>2848</v>
      </c>
      <c r="B1334" t="s">
        <v>2849</v>
      </c>
      <c r="C1334" t="str">
        <f>LEFT(B1334,FIND(" ",B1334)-1)</f>
        <v>Bajaj</v>
      </c>
      <c r="D1334" t="str">
        <f>TRIM(RIGHT(E1334,LEN(E1334)-FIND("@",SUBSTITUTE(E1334,"|","@",LEN(E1334)-LEN(SUBSTITUTE(E1334,"|",""))))))</f>
        <v>MixerGrinders</v>
      </c>
      <c r="E1334" t="s">
        <v>2044</v>
      </c>
      <c r="F1334" s="3">
        <v>3041.67</v>
      </c>
      <c r="G1334" s="1">
        <v>5999</v>
      </c>
      <c r="H1334" s="6">
        <v>49</v>
      </c>
      <c r="I1334">
        <v>4</v>
      </c>
      <c r="J1334">
        <v>777</v>
      </c>
    </row>
    <row r="1335" spans="1:10">
      <c r="A1335" t="s">
        <v>2850</v>
      </c>
      <c r="B1335" t="s">
        <v>2851</v>
      </c>
      <c r="C1335" t="str">
        <f>LEFT(B1335,FIND(" ",B1335)-1)</f>
        <v>KENT</v>
      </c>
      <c r="D1335" t="str">
        <f>TRIM(RIGHT(E1335,LEN(E1335)-FIND("@",SUBSTITUTE(E1335,"|","@",LEN(E1335)-LEN(SUBSTITUTE(E1335,"|",""))))))</f>
        <v>HandBlenders</v>
      </c>
      <c r="E1335" t="s">
        <v>2038</v>
      </c>
      <c r="F1335" s="1">
        <v>1745</v>
      </c>
      <c r="G1335" s="1">
        <v>2400</v>
      </c>
      <c r="H1335" s="6">
        <v>27</v>
      </c>
      <c r="I1335">
        <v>4.2</v>
      </c>
      <c r="J1335" s="1">
        <v>14160</v>
      </c>
    </row>
    <row r="1336" spans="1:10">
      <c r="A1336" t="s">
        <v>2852</v>
      </c>
      <c r="B1336" t="s">
        <v>2853</v>
      </c>
      <c r="C1336" t="str">
        <f>LEFT(B1336,FIND(" ",B1336)-1)</f>
        <v>Prestige</v>
      </c>
      <c r="D1336" t="str">
        <f>TRIM(RIGHT(E1336,LEN(E1336)-FIND("@",SUBSTITUTE(E1336,"|","@",LEN(E1336)-LEN(SUBSTITUTE(E1336,"|",""))))))</f>
        <v>InductionCooktop</v>
      </c>
      <c r="E1336" t="s">
        <v>2029</v>
      </c>
      <c r="F1336" s="1">
        <v>3180</v>
      </c>
      <c r="G1336" s="1">
        <v>5295</v>
      </c>
      <c r="H1336" s="6">
        <v>4</v>
      </c>
      <c r="I1336">
        <v>4.2</v>
      </c>
      <c r="J1336" s="1">
        <v>6919</v>
      </c>
    </row>
    <row r="1337" spans="1:10">
      <c r="A1337" t="s">
        <v>2854</v>
      </c>
      <c r="B1337" t="s">
        <v>2855</v>
      </c>
      <c r="C1337" t="str">
        <f>LEFT(B1337,FIND(" ",B1337)-1)</f>
        <v>Aqua</v>
      </c>
      <c r="D1337" t="str">
        <f>TRIM(RIGHT(E1337,LEN(E1337)-FIND("@",SUBSTITUTE(E1337,"|","@",LEN(E1337)-LEN(SUBSTITUTE(E1337,"|",""))))))</f>
        <v>WaterFilters&amp;Purifiers</v>
      </c>
      <c r="E1337" t="s">
        <v>2347</v>
      </c>
      <c r="F1337" s="1">
        <v>4999</v>
      </c>
      <c r="G1337" s="1">
        <v>24999</v>
      </c>
      <c r="H1337" s="6">
        <v>8</v>
      </c>
      <c r="I1337">
        <v>4.5</v>
      </c>
      <c r="J1337">
        <v>287</v>
      </c>
    </row>
    <row r="1338" spans="1:10">
      <c r="A1338" t="s">
        <v>2856</v>
      </c>
      <c r="B1338" t="s">
        <v>2857</v>
      </c>
      <c r="C1338" t="str">
        <f>LEFT(B1338,FIND(" ",B1338)-1)</f>
        <v>PrettyKrafts</v>
      </c>
      <c r="D1338" t="str">
        <f>TRIM(RIGHT(E1338,LEN(E1338)-FIND("@",SUBSTITUTE(E1338,"|","@",LEN(E1338)-LEN(SUBSTITUTE(E1338,"|",""))))))</f>
        <v>LaundryBaskets</v>
      </c>
      <c r="E1338" t="s">
        <v>2085</v>
      </c>
      <c r="F1338">
        <v>390</v>
      </c>
      <c r="G1338">
        <v>799</v>
      </c>
      <c r="H1338" s="6">
        <v>51</v>
      </c>
      <c r="I1338">
        <v>3.8</v>
      </c>
      <c r="J1338">
        <v>287</v>
      </c>
    </row>
    <row r="1339" spans="1:10">
      <c r="A1339" t="s">
        <v>2858</v>
      </c>
      <c r="B1339" t="s">
        <v>2859</v>
      </c>
      <c r="C1339" t="str">
        <f>LEFT(B1339,FIND(" ",B1339)-1)</f>
        <v>Libra</v>
      </c>
      <c r="D1339" t="str">
        <f>TRIM(RIGHT(E1339,LEN(E1339)-FIND("@",SUBSTITUTE(E1339,"|","@",LEN(E1339)-LEN(SUBSTITUTE(E1339,"|",""))))))</f>
        <v>RotiMakers</v>
      </c>
      <c r="E1339" t="s">
        <v>2860</v>
      </c>
      <c r="F1339" s="1">
        <v>1999</v>
      </c>
      <c r="G1339" s="1">
        <v>2999</v>
      </c>
      <c r="H1339" s="6">
        <v>33</v>
      </c>
      <c r="I1339">
        <v>4.4000000000000004</v>
      </c>
      <c r="J1339">
        <v>388</v>
      </c>
    </row>
    <row r="1340" spans="1:10">
      <c r="A1340" t="s">
        <v>2861</v>
      </c>
      <c r="B1340" t="s">
        <v>2862</v>
      </c>
      <c r="C1340" t="str">
        <f>LEFT(B1340,FIND(" ",B1340)-1)</f>
        <v>Glen</v>
      </c>
      <c r="D1340" t="str">
        <f>TRIM(RIGHT(E1340,LEN(E1340)-FIND("@",SUBSTITUTE(E1340,"|","@",LEN(E1340)-LEN(SUBSTITUTE(E1340,"|",""))))))</f>
        <v>EggBoilers</v>
      </c>
      <c r="E1340" t="s">
        <v>2117</v>
      </c>
      <c r="F1340" s="1">
        <v>1624</v>
      </c>
      <c r="G1340" s="1">
        <v>2495</v>
      </c>
      <c r="H1340" s="6">
        <v>35</v>
      </c>
      <c r="I1340">
        <v>4.0999999999999996</v>
      </c>
      <c r="J1340">
        <v>827</v>
      </c>
    </row>
    <row r="1341" spans="1:10">
      <c r="A1341" t="s">
        <v>2863</v>
      </c>
      <c r="B1341" t="s">
        <v>2864</v>
      </c>
      <c r="C1341" t="str">
        <f>LEFT(B1341,FIND(" ",B1341)-1)</f>
        <v>Dynore</v>
      </c>
      <c r="D1341" t="str">
        <f>TRIM(RIGHT(E1341,LEN(E1341)-FIND("@",SUBSTITUTE(E1341,"|","@",LEN(E1341)-LEN(SUBSTITUTE(E1341,"|",""))))))</f>
        <v>MeasuringSpoons</v>
      </c>
      <c r="E1341" t="s">
        <v>2772</v>
      </c>
      <c r="F1341">
        <v>184</v>
      </c>
      <c r="G1341">
        <v>450</v>
      </c>
      <c r="H1341" s="6">
        <v>59</v>
      </c>
      <c r="I1341">
        <v>4.2</v>
      </c>
      <c r="J1341" s="1">
        <v>4971</v>
      </c>
    </row>
    <row r="1342" spans="1:10">
      <c r="A1342" t="s">
        <v>2865</v>
      </c>
      <c r="B1342" t="s">
        <v>2866</v>
      </c>
      <c r="C1342" t="str">
        <f>LEFT(B1342,FIND(" ",B1342)-1)</f>
        <v>Lint</v>
      </c>
      <c r="D1342" t="str">
        <f>TRIM(RIGHT(E1342,LEN(E1342)-FIND("@",SUBSTITUTE(E1342,"|","@",LEN(E1342)-LEN(SUBSTITUTE(E1342,"|",""))))))</f>
        <v>LintShavers</v>
      </c>
      <c r="E1342" t="s">
        <v>2011</v>
      </c>
      <c r="F1342">
        <v>445</v>
      </c>
      <c r="G1342">
        <v>999</v>
      </c>
      <c r="H1342" s="6">
        <v>55</v>
      </c>
      <c r="I1342">
        <v>4.3</v>
      </c>
      <c r="J1342">
        <v>229</v>
      </c>
    </row>
    <row r="1343" spans="1:10">
      <c r="A1343" t="s">
        <v>2867</v>
      </c>
      <c r="B1343" t="s">
        <v>2868</v>
      </c>
      <c r="C1343" t="str">
        <f>LEFT(B1343,FIND(" ",B1343)-1)</f>
        <v>Monitor</v>
      </c>
      <c r="D1343" t="str">
        <f>TRIM(RIGHT(E1343,LEN(E1343)-FIND("@",SUBSTITUTE(E1343,"|","@",LEN(E1343)-LEN(SUBSTITUTE(E1343,"|",""))))))</f>
        <v>FanParts&amp;Accessories</v>
      </c>
      <c r="E1343" t="s">
        <v>2869</v>
      </c>
      <c r="F1343">
        <v>699</v>
      </c>
      <c r="G1343" s="1">
        <v>1690</v>
      </c>
      <c r="H1343" s="6">
        <v>59</v>
      </c>
      <c r="I1343">
        <v>4.0999999999999996</v>
      </c>
      <c r="J1343" s="1">
        <v>3524</v>
      </c>
    </row>
    <row r="1344" spans="1:10">
      <c r="A1344" t="s">
        <v>2870</v>
      </c>
      <c r="B1344" t="s">
        <v>2871</v>
      </c>
      <c r="C1344" t="str">
        <f>LEFT(B1344,FIND(" ",B1344)-1)</f>
        <v>iBELL</v>
      </c>
      <c r="D1344" t="str">
        <f>TRIM(RIGHT(E1344,LEN(E1344)-FIND("@",SUBSTITUTE(E1344,"|","@",LEN(E1344)-LEN(SUBSTITUTE(E1344,"|",""))))))</f>
        <v>InductionCooktop</v>
      </c>
      <c r="E1344" t="s">
        <v>2029</v>
      </c>
      <c r="F1344" s="1">
        <v>1601</v>
      </c>
      <c r="G1344" s="1">
        <v>3890</v>
      </c>
      <c r="H1344" s="6">
        <v>59</v>
      </c>
      <c r="I1344">
        <v>4.2</v>
      </c>
      <c r="J1344">
        <v>156</v>
      </c>
    </row>
    <row r="1345" spans="1:10">
      <c r="A1345" t="s">
        <v>2872</v>
      </c>
      <c r="B1345" t="s">
        <v>2873</v>
      </c>
      <c r="C1345" t="str">
        <f>LEFT(B1345,FIND(" ",B1345)-1)</f>
        <v>KENT</v>
      </c>
      <c r="D1345" t="str">
        <f>TRIM(RIGHT(E1345,LEN(E1345)-FIND("@",SUBSTITUTE(E1345,"|","@",LEN(E1345)-LEN(SUBSTITUTE(E1345,"|",""))))))</f>
        <v>WaterPurifierAccessories</v>
      </c>
      <c r="E1345" t="s">
        <v>2249</v>
      </c>
      <c r="F1345">
        <v>231</v>
      </c>
      <c r="G1345">
        <v>260</v>
      </c>
      <c r="H1345" s="6">
        <v>11</v>
      </c>
      <c r="I1345">
        <v>4.0999999999999996</v>
      </c>
      <c r="J1345">
        <v>490</v>
      </c>
    </row>
    <row r="1346" spans="1:10">
      <c r="A1346" t="s">
        <v>2874</v>
      </c>
      <c r="B1346" t="s">
        <v>2875</v>
      </c>
      <c r="C1346" t="str">
        <f>LEFT(B1346,FIND(" ",B1346)-1)</f>
        <v>LACOPINE</v>
      </c>
      <c r="D1346" t="str">
        <f>TRIM(RIGHT(E1346,LEN(E1346)-FIND("@",SUBSTITUTE(E1346,"|","@",LEN(E1346)-LEN(SUBSTITUTE(E1346,"|",""))))))</f>
        <v>LintShavers</v>
      </c>
      <c r="E1346" t="s">
        <v>2011</v>
      </c>
      <c r="F1346">
        <v>369</v>
      </c>
      <c r="G1346">
        <v>599</v>
      </c>
      <c r="H1346" s="6">
        <v>38</v>
      </c>
      <c r="I1346">
        <v>3.9</v>
      </c>
      <c r="J1346">
        <v>82</v>
      </c>
    </row>
    <row r="1347" spans="1:10">
      <c r="A1347" t="s">
        <v>2876</v>
      </c>
      <c r="B1347" t="s">
        <v>2877</v>
      </c>
      <c r="C1347" t="str">
        <f>LEFT(B1347,FIND(" ",B1347)-1)</f>
        <v>iBELL</v>
      </c>
      <c r="D1347" t="str">
        <f>TRIM(RIGHT(E1347,LEN(E1347)-FIND("@",SUBSTITUTE(E1347,"|","@",LEN(E1347)-LEN(SUBSTITUTE(E1347,"|",""))))))</f>
        <v>ElectricKettles</v>
      </c>
      <c r="E1347" t="s">
        <v>2001</v>
      </c>
      <c r="F1347">
        <v>809</v>
      </c>
      <c r="G1347" s="1">
        <v>1950</v>
      </c>
      <c r="H1347" s="6">
        <v>59</v>
      </c>
      <c r="I1347">
        <v>3.9</v>
      </c>
      <c r="J1347">
        <v>710</v>
      </c>
    </row>
    <row r="1348" spans="1:10">
      <c r="A1348" t="s">
        <v>2878</v>
      </c>
      <c r="B1348" t="s">
        <v>2879</v>
      </c>
      <c r="C1348" t="str">
        <f>LEFT(B1348,FIND(" ",B1348)-1)</f>
        <v>Activa</v>
      </c>
      <c r="D1348" t="str">
        <f>TRIM(RIGHT(E1348,LEN(E1348)-FIND("@",SUBSTITUTE(E1348,"|","@",LEN(E1348)-LEN(SUBSTITUTE(E1348,"|",""))))))</f>
        <v>MixerGrinders</v>
      </c>
      <c r="E1348" t="s">
        <v>2044</v>
      </c>
      <c r="F1348" s="1">
        <v>1199</v>
      </c>
      <c r="G1348" s="1">
        <v>2990</v>
      </c>
      <c r="H1348" s="6">
        <v>6</v>
      </c>
      <c r="I1348">
        <v>3.8</v>
      </c>
      <c r="J1348">
        <v>133</v>
      </c>
    </row>
    <row r="1349" spans="1:10">
      <c r="A1349" t="s">
        <v>2880</v>
      </c>
      <c r="B1349" t="s">
        <v>2881</v>
      </c>
      <c r="C1349" t="str">
        <f>LEFT(B1349,FIND(" ",B1349)-1)</f>
        <v>Sujata</v>
      </c>
      <c r="D1349" t="str">
        <f>TRIM(RIGHT(E1349,LEN(E1349)-FIND("@",SUBSTITUTE(E1349,"|","@",LEN(E1349)-LEN(SUBSTITUTE(E1349,"|",""))))))</f>
        <v>MixerGrinders</v>
      </c>
      <c r="E1349" t="s">
        <v>2044</v>
      </c>
      <c r="F1349" s="1">
        <v>6120</v>
      </c>
      <c r="G1349" s="1">
        <v>8073</v>
      </c>
      <c r="H1349" s="6">
        <v>24</v>
      </c>
      <c r="I1349">
        <v>4.5999999999999996</v>
      </c>
      <c r="J1349" s="1">
        <v>2751</v>
      </c>
    </row>
    <row r="1350" spans="1:10">
      <c r="A1350" t="s">
        <v>2882</v>
      </c>
      <c r="B1350" t="s">
        <v>2883</v>
      </c>
      <c r="C1350" t="str">
        <f>LEFT(B1350,FIND(" ",B1350)-1)</f>
        <v>Wipro</v>
      </c>
      <c r="D1350" t="str">
        <f>TRIM(RIGHT(E1350,LEN(E1350)-FIND("@",SUBSTITUTE(E1350,"|","@",LEN(E1350)-LEN(SUBSTITUTE(E1350,"|",""))))))</f>
        <v>SteamIrons</v>
      </c>
      <c r="E1350" t="s">
        <v>2088</v>
      </c>
      <c r="F1350" s="1">
        <v>1799</v>
      </c>
      <c r="G1350" s="1">
        <v>2599</v>
      </c>
      <c r="H1350" s="6">
        <v>31</v>
      </c>
      <c r="I1350">
        <v>3.6</v>
      </c>
      <c r="J1350">
        <v>771</v>
      </c>
    </row>
    <row r="1351" spans="1:10">
      <c r="A1351" t="s">
        <v>2884</v>
      </c>
      <c r="B1351" t="s">
        <v>2885</v>
      </c>
      <c r="C1351" t="str">
        <f>LEFT(B1351,FIND(" ",B1351)-1)</f>
        <v>Mi</v>
      </c>
      <c r="D1351" t="str">
        <f>TRIM(RIGHT(E1351,LEN(E1351)-FIND("@",SUBSTITUTE(E1351,"|","@",LEN(E1351)-LEN(SUBSTITUTE(E1351,"|",""))))))</f>
        <v>RoboticVacuums</v>
      </c>
      <c r="E1351" t="s">
        <v>2627</v>
      </c>
      <c r="F1351" s="1">
        <v>18999</v>
      </c>
      <c r="G1351" s="1">
        <v>29999</v>
      </c>
      <c r="H1351" s="6">
        <v>37</v>
      </c>
      <c r="I1351">
        <v>4.0999999999999996</v>
      </c>
      <c r="J1351" s="1">
        <v>2536</v>
      </c>
    </row>
    <row r="1352" spans="1:10">
      <c r="A1352" t="s">
        <v>2886</v>
      </c>
      <c r="B1352" t="s">
        <v>2887</v>
      </c>
      <c r="C1352" t="str">
        <f>LEFT(B1352,FIND(" ",B1352)-1)</f>
        <v>Havells</v>
      </c>
      <c r="D1352" t="str">
        <f>TRIM(RIGHT(E1352,LEN(E1352)-FIND("@",SUBSTITUTE(E1352,"|","@",LEN(E1352)-LEN(SUBSTITUTE(E1352,"|",""))))))</f>
        <v>ExhaustFans</v>
      </c>
      <c r="E1352" t="s">
        <v>2239</v>
      </c>
      <c r="F1352" s="1">
        <v>1999</v>
      </c>
      <c r="G1352" s="1">
        <v>2360</v>
      </c>
      <c r="H1352" s="6">
        <v>15</v>
      </c>
      <c r="I1352">
        <v>4.2</v>
      </c>
      <c r="J1352" s="1">
        <v>7801</v>
      </c>
    </row>
    <row r="1353" spans="1:10">
      <c r="A1353" t="s">
        <v>2888</v>
      </c>
      <c r="B1353" t="s">
        <v>2889</v>
      </c>
      <c r="C1353" t="str">
        <f>LEFT(B1353,FIND(" ",B1353)-1)</f>
        <v>AGARO</v>
      </c>
      <c r="D1353" t="str">
        <f>TRIM(RIGHT(E1353,LEN(E1353)-FIND("@",SUBSTITUTE(E1353,"|","@",LEN(E1353)-LEN(SUBSTITUTE(E1353,"|",""))))))</f>
        <v>StandMixers</v>
      </c>
      <c r="E1353" t="s">
        <v>2890</v>
      </c>
      <c r="F1353" s="1">
        <v>5999</v>
      </c>
      <c r="G1353" s="1">
        <v>11495</v>
      </c>
      <c r="H1353" s="6">
        <v>48</v>
      </c>
      <c r="I1353">
        <v>4.3</v>
      </c>
      <c r="J1353">
        <v>534</v>
      </c>
    </row>
    <row r="1354" spans="1:10">
      <c r="A1354" t="s">
        <v>2891</v>
      </c>
      <c r="B1354" t="s">
        <v>2892</v>
      </c>
      <c r="C1354" t="str">
        <f>LEFT(B1354,FIND(" ",B1354)-1)</f>
        <v>Crompton</v>
      </c>
      <c r="D1354" t="str">
        <f>TRIM(RIGHT(E1354,LEN(E1354)-FIND("@",SUBSTITUTE(E1354,"|","@",LEN(E1354)-LEN(SUBSTITUTE(E1354,"|",""))))))</f>
        <v>CeilingFans</v>
      </c>
      <c r="E1354" t="s">
        <v>2174</v>
      </c>
      <c r="F1354" s="1">
        <v>2599</v>
      </c>
      <c r="G1354" s="1">
        <v>4780</v>
      </c>
      <c r="H1354" s="6">
        <v>46</v>
      </c>
      <c r="I1354">
        <v>3.9</v>
      </c>
      <c r="J1354">
        <v>898</v>
      </c>
    </row>
    <row r="1355" spans="1:10">
      <c r="A1355" t="s">
        <v>2893</v>
      </c>
      <c r="B1355" t="s">
        <v>2894</v>
      </c>
      <c r="C1355" t="str">
        <f>LEFT(B1355,FIND(" ",B1355)-1)</f>
        <v>Lifelong</v>
      </c>
      <c r="D1355" t="str">
        <f>TRIM(RIGHT(E1355,LEN(E1355)-FIND("@",SUBSTITUTE(E1355,"|","@",LEN(E1355)-LEN(SUBSTITUTE(E1355,"|",""))))))</f>
        <v>WaffleMakers&amp;Irons</v>
      </c>
      <c r="E1355" t="s">
        <v>2744</v>
      </c>
      <c r="F1355" s="1">
        <v>1199</v>
      </c>
      <c r="G1355" s="1">
        <v>2400</v>
      </c>
      <c r="H1355" s="6">
        <v>5</v>
      </c>
      <c r="I1355">
        <v>3.9</v>
      </c>
      <c r="J1355" s="1">
        <v>1202</v>
      </c>
    </row>
    <row r="1356" spans="1:10">
      <c r="A1356" t="s">
        <v>2895</v>
      </c>
      <c r="B1356" t="s">
        <v>2896</v>
      </c>
      <c r="C1356" t="str">
        <f>LEFT(B1356,FIND(" ",B1356)-1)</f>
        <v>Kuber</v>
      </c>
      <c r="D1356" t="str">
        <f>TRIM(RIGHT(E1356,LEN(E1356)-FIND("@",SUBSTITUTE(E1356,"|","@",LEN(E1356)-LEN(SUBSTITUTE(E1356,"|",""))))))</f>
        <v>LaundryBaskets</v>
      </c>
      <c r="E1356" t="s">
        <v>2085</v>
      </c>
      <c r="F1356">
        <v>219</v>
      </c>
      <c r="G1356">
        <v>249</v>
      </c>
      <c r="H1356" s="6">
        <v>12</v>
      </c>
      <c r="I1356">
        <v>4</v>
      </c>
      <c r="J1356" s="1">
        <v>1108</v>
      </c>
    </row>
    <row r="1357" spans="1:10">
      <c r="A1357" t="s">
        <v>2897</v>
      </c>
      <c r="B1357" t="s">
        <v>2898</v>
      </c>
      <c r="C1357" t="str">
        <f>LEFT(B1357,FIND(" ",B1357)-1)</f>
        <v>Portable,</v>
      </c>
      <c r="D1357" t="str">
        <f>TRIM(RIGHT(E1357,LEN(E1357)-FIND("@",SUBSTITUTE(E1357,"|","@",LEN(E1357)-LEN(SUBSTITUTE(E1357,"|",""))))))</f>
        <v>FanHeaters</v>
      </c>
      <c r="E1357" t="s">
        <v>2008</v>
      </c>
      <c r="F1357">
        <v>799</v>
      </c>
      <c r="G1357" s="1">
        <v>1199</v>
      </c>
      <c r="H1357" s="6">
        <v>33</v>
      </c>
      <c r="I1357">
        <v>4.4000000000000004</v>
      </c>
      <c r="J1357">
        <v>17</v>
      </c>
    </row>
    <row r="1358" spans="1:10">
      <c r="A1358" t="s">
        <v>2899</v>
      </c>
      <c r="B1358" t="s">
        <v>2900</v>
      </c>
      <c r="C1358" t="str">
        <f>LEFT(B1358,FIND(" ",B1358)-1)</f>
        <v>Karcher</v>
      </c>
      <c r="D1358" t="str">
        <f>TRIM(RIGHT(E1358,LEN(E1358)-FIND("@",SUBSTITUTE(E1358,"|","@",LEN(E1358)-LEN(SUBSTITUTE(E1358,"|",""))))))</f>
        <v>Wet-DryVacuums</v>
      </c>
      <c r="E1358" t="s">
        <v>2315</v>
      </c>
      <c r="F1358" s="1">
        <v>6199</v>
      </c>
      <c r="G1358" s="1">
        <v>10999</v>
      </c>
      <c r="H1358" s="6">
        <v>44</v>
      </c>
      <c r="I1358">
        <v>4.2</v>
      </c>
      <c r="J1358" s="1">
        <v>10429</v>
      </c>
    </row>
    <row r="1359" spans="1:10">
      <c r="A1359" t="s">
        <v>2901</v>
      </c>
      <c r="B1359" t="s">
        <v>2902</v>
      </c>
      <c r="C1359" t="str">
        <f>LEFT(B1359,FIND(" ",B1359)-1)</f>
        <v>INALSA</v>
      </c>
      <c r="D1359" t="str">
        <f>TRIM(RIGHT(E1359,LEN(E1359)-FIND("@",SUBSTITUTE(E1359,"|","@",LEN(E1359)-LEN(SUBSTITUTE(E1359,"|",""))))))</f>
        <v>AirFryers</v>
      </c>
      <c r="E1359" t="s">
        <v>2082</v>
      </c>
      <c r="F1359" s="1">
        <v>6790</v>
      </c>
      <c r="G1359" s="1">
        <v>10995</v>
      </c>
      <c r="H1359" s="6">
        <v>38</v>
      </c>
      <c r="I1359">
        <v>4.5</v>
      </c>
      <c r="J1359" s="1">
        <v>3192</v>
      </c>
    </row>
    <row r="1360" spans="1:10">
      <c r="A1360" t="s">
        <v>2903</v>
      </c>
      <c r="B1360" t="s">
        <v>2904</v>
      </c>
      <c r="C1360" t="str">
        <f>LEFT(B1360,FIND(" ",B1360)-1)</f>
        <v>AmazonBasics</v>
      </c>
      <c r="D1360" t="str">
        <f>TRIM(RIGHT(E1360,LEN(E1360)-FIND("@",SUBSTITUTE(E1360,"|","@",LEN(E1360)-LEN(SUBSTITUTE(E1360,"|",""))))))</f>
        <v>PedestalFans</v>
      </c>
      <c r="E1360" t="s">
        <v>2905</v>
      </c>
      <c r="F1360" s="3">
        <v>1982.84</v>
      </c>
      <c r="G1360" s="1">
        <v>3300</v>
      </c>
      <c r="H1360" s="6">
        <v>4</v>
      </c>
      <c r="I1360">
        <v>4.0999999999999996</v>
      </c>
      <c r="J1360" s="1">
        <v>5873</v>
      </c>
    </row>
    <row r="1361" spans="1:10">
      <c r="A1361" t="s">
        <v>2906</v>
      </c>
      <c r="B1361" t="s">
        <v>2907</v>
      </c>
      <c r="C1361" t="str">
        <f>LEFT(B1361,FIND(" ",B1361)-1)</f>
        <v>Eco</v>
      </c>
      <c r="D1361" t="str">
        <f>TRIM(RIGHT(E1361,LEN(E1361)-FIND("@",SUBSTITUTE(E1361,"|","@",LEN(E1361)-LEN(SUBSTITUTE(E1361,"|",""))))))</f>
        <v>WaterPurifierAccessories</v>
      </c>
      <c r="E1361" t="s">
        <v>2249</v>
      </c>
      <c r="F1361">
        <v>199</v>
      </c>
      <c r="G1361">
        <v>400</v>
      </c>
      <c r="H1361" s="6">
        <v>5</v>
      </c>
      <c r="I1361">
        <v>4.0999999999999996</v>
      </c>
      <c r="J1361" s="1">
        <v>1379</v>
      </c>
    </row>
    <row r="1362" spans="1:10">
      <c r="A1362" t="s">
        <v>2908</v>
      </c>
      <c r="B1362" t="s">
        <v>2909</v>
      </c>
      <c r="C1362" t="str">
        <f>LEFT(B1362,FIND(" ",B1362)-1)</f>
        <v>Borosil</v>
      </c>
      <c r="D1362" t="str">
        <f>TRIM(RIGHT(E1362,LEN(E1362)-FIND("@",SUBSTITUTE(E1362,"|","@",LEN(E1362)-LEN(SUBSTITUTE(E1362,"|",""))))))</f>
        <v>ElectricKettles</v>
      </c>
      <c r="E1362" t="s">
        <v>2001</v>
      </c>
      <c r="F1362" s="1">
        <v>1180</v>
      </c>
      <c r="G1362" s="1">
        <v>1440</v>
      </c>
      <c r="H1362" s="6">
        <v>18</v>
      </c>
      <c r="I1362">
        <v>4.2</v>
      </c>
      <c r="J1362" s="1">
        <v>1527</v>
      </c>
    </row>
    <row r="1363" spans="1:10">
      <c r="A1363" t="s">
        <v>2910</v>
      </c>
      <c r="B1363" t="s">
        <v>2911</v>
      </c>
      <c r="C1363" t="str">
        <f>LEFT(B1363,FIND(" ",B1363)-1)</f>
        <v>Havells</v>
      </c>
      <c r="D1363" t="str">
        <f>TRIM(RIGHT(E1363,LEN(E1363)-FIND("@",SUBSTITUTE(E1363,"|","@",LEN(E1363)-LEN(SUBSTITUTE(E1363,"|",""))))))</f>
        <v>CeilingFans</v>
      </c>
      <c r="E1363" t="s">
        <v>2174</v>
      </c>
      <c r="F1363" s="1">
        <v>2199</v>
      </c>
      <c r="G1363" s="1">
        <v>3045</v>
      </c>
      <c r="H1363" s="6">
        <v>28</v>
      </c>
      <c r="I1363">
        <v>4.2</v>
      </c>
      <c r="J1363" s="1">
        <v>2686</v>
      </c>
    </row>
    <row r="1364" spans="1:10">
      <c r="A1364" t="s">
        <v>2912</v>
      </c>
      <c r="B1364" t="s">
        <v>2913</v>
      </c>
      <c r="C1364" t="str">
        <f>LEFT(B1364,FIND(" ",B1364)-1)</f>
        <v>PHILIPS</v>
      </c>
      <c r="D1364" t="str">
        <f>TRIM(RIGHT(E1364,LEN(E1364)-FIND("@",SUBSTITUTE(E1364,"|","@",LEN(E1364)-LEN(SUBSTITUTE(E1364,"|",""))))))</f>
        <v>DripCoffeeMachines</v>
      </c>
      <c r="E1364" t="s">
        <v>2244</v>
      </c>
      <c r="F1364" s="1">
        <v>2999</v>
      </c>
      <c r="G1364" s="1">
        <v>3595</v>
      </c>
      <c r="H1364" s="6">
        <v>17</v>
      </c>
      <c r="I1364">
        <v>4</v>
      </c>
      <c r="J1364">
        <v>178</v>
      </c>
    </row>
    <row r="1365" spans="1:10">
      <c r="A1365" t="s">
        <v>2914</v>
      </c>
      <c r="B1365" t="s">
        <v>2915</v>
      </c>
      <c r="C1365" t="str">
        <f>LEFT(B1365,FIND(" ",B1365)-1)</f>
        <v>Eureka</v>
      </c>
      <c r="D1365" t="str">
        <f>TRIM(RIGHT(E1365,LEN(E1365)-FIND("@",SUBSTITUTE(E1365,"|","@",LEN(E1365)-LEN(SUBSTITUTE(E1365,"|",""))))))</f>
        <v>HandheldBags</v>
      </c>
      <c r="E1365" t="s">
        <v>2916</v>
      </c>
      <c r="F1365">
        <v>253</v>
      </c>
      <c r="G1365">
        <v>500</v>
      </c>
      <c r="H1365" s="6">
        <v>49</v>
      </c>
      <c r="I1365">
        <v>4.3</v>
      </c>
      <c r="J1365" s="1">
        <v>2664</v>
      </c>
    </row>
    <row r="1366" spans="1:10">
      <c r="A1366" t="s">
        <v>2917</v>
      </c>
      <c r="B1366" t="s">
        <v>2918</v>
      </c>
      <c r="C1366" t="str">
        <f>LEFT(B1366,FIND(" ",B1366)-1)</f>
        <v>Larrito</v>
      </c>
      <c r="D1366" t="str">
        <f>TRIM(RIGHT(E1366,LEN(E1366)-FIND("@",SUBSTITUTE(E1366,"|","@",LEN(E1366)-LEN(SUBSTITUTE(E1366,"|",""))))))</f>
        <v>Humidifiers</v>
      </c>
      <c r="E1366" t="s">
        <v>2560</v>
      </c>
      <c r="F1366">
        <v>499</v>
      </c>
      <c r="G1366">
        <v>799</v>
      </c>
      <c r="H1366" s="6">
        <v>38</v>
      </c>
      <c r="I1366">
        <v>3.6</v>
      </c>
      <c r="J1366">
        <v>212</v>
      </c>
    </row>
    <row r="1367" spans="1:10">
      <c r="A1367" t="s">
        <v>2919</v>
      </c>
      <c r="B1367" t="s">
        <v>2920</v>
      </c>
      <c r="C1367" t="str">
        <f>LEFT(B1367,FIND(" ",B1367)-1)</f>
        <v>Hilton</v>
      </c>
      <c r="D1367" t="str">
        <f>TRIM(RIGHT(E1367,LEN(E1367)-FIND("@",SUBSTITUTE(E1367,"|","@",LEN(E1367)-LEN(SUBSTITUTE(E1367,"|",""))))))</f>
        <v>ElectricHeaters</v>
      </c>
      <c r="E1367" t="s">
        <v>2005</v>
      </c>
      <c r="F1367" s="1">
        <v>1149</v>
      </c>
      <c r="G1367" s="1">
        <v>1899</v>
      </c>
      <c r="H1367" s="6">
        <v>39</v>
      </c>
      <c r="I1367">
        <v>3.5</v>
      </c>
      <c r="J1367">
        <v>24</v>
      </c>
    </row>
    <row r="1368" spans="1:10">
      <c r="A1368" t="s">
        <v>2921</v>
      </c>
      <c r="B1368" t="s">
        <v>2922</v>
      </c>
      <c r="C1368" t="str">
        <f>LEFT(B1368,FIND(" ",B1368)-1)</f>
        <v>Syska</v>
      </c>
      <c r="D1368" t="str">
        <f>TRIM(RIGHT(E1368,LEN(E1368)-FIND("@",SUBSTITUTE(E1368,"|","@",LEN(E1368)-LEN(SUBSTITUTE(E1368,"|",""))))))</f>
        <v>DryIrons</v>
      </c>
      <c r="E1368" t="s">
        <v>2041</v>
      </c>
      <c r="F1368">
        <v>457</v>
      </c>
      <c r="G1368">
        <v>799</v>
      </c>
      <c r="H1368" s="6">
        <v>43</v>
      </c>
      <c r="I1368">
        <v>4.3</v>
      </c>
      <c r="J1368" s="1">
        <v>1868</v>
      </c>
    </row>
    <row r="1369" spans="1:10">
      <c r="A1369" t="s">
        <v>2923</v>
      </c>
      <c r="B1369" t="s">
        <v>2924</v>
      </c>
      <c r="C1369" t="str">
        <f>LEFT(B1369,FIND(" ",B1369)-1)</f>
        <v>IKEA</v>
      </c>
      <c r="D1369" t="str">
        <f>TRIM(RIGHT(E1369,LEN(E1369)-FIND("@",SUBSTITUTE(E1369,"|","@",LEN(E1369)-LEN(SUBSTITUTE(E1369,"|",""))))))</f>
        <v>MilkFrothers</v>
      </c>
      <c r="E1369" t="s">
        <v>2551</v>
      </c>
      <c r="F1369">
        <v>229</v>
      </c>
      <c r="G1369">
        <v>399</v>
      </c>
      <c r="H1369" s="6">
        <v>43</v>
      </c>
      <c r="I1369">
        <v>3.6</v>
      </c>
      <c r="J1369">
        <v>451</v>
      </c>
    </row>
    <row r="1370" spans="1:10">
      <c r="A1370" t="s">
        <v>2925</v>
      </c>
      <c r="B1370" t="s">
        <v>2926</v>
      </c>
      <c r="C1370" t="str">
        <f>LEFT(B1370,FIND(" ",B1370)-1)</f>
        <v>IONIX</v>
      </c>
      <c r="D1370" t="str">
        <f>TRIM(RIGHT(E1370,LEN(E1370)-FIND("@",SUBSTITUTE(E1370,"|","@",LEN(E1370)-LEN(SUBSTITUTE(E1370,"|",""))))))</f>
        <v>WaterPurifierAccessories</v>
      </c>
      <c r="E1370" t="s">
        <v>2249</v>
      </c>
      <c r="F1370">
        <v>199</v>
      </c>
      <c r="G1370">
        <v>699</v>
      </c>
      <c r="H1370" s="6">
        <v>72</v>
      </c>
      <c r="I1370">
        <v>2.9</v>
      </c>
      <c r="J1370">
        <v>159</v>
      </c>
    </row>
    <row r="1371" spans="1:10">
      <c r="A1371" t="s">
        <v>2927</v>
      </c>
      <c r="B1371" t="s">
        <v>2928</v>
      </c>
      <c r="C1371" t="str">
        <f>LEFT(B1371,FIND(" ",B1371)-1)</f>
        <v>Kitchengenix's</v>
      </c>
      <c r="D1371" t="str">
        <f>TRIM(RIGHT(E1371,LEN(E1371)-FIND("@",SUBSTITUTE(E1371,"|","@",LEN(E1371)-LEN(SUBSTITUTE(E1371,"|",""))))))</f>
        <v>WaffleMakers&amp;Irons</v>
      </c>
      <c r="E1371" t="s">
        <v>2744</v>
      </c>
      <c r="F1371">
        <v>899</v>
      </c>
      <c r="G1371" s="1">
        <v>1999</v>
      </c>
      <c r="H1371" s="6">
        <v>55</v>
      </c>
      <c r="I1371">
        <v>4.2</v>
      </c>
      <c r="J1371">
        <v>39</v>
      </c>
    </row>
    <row r="1372" spans="1:10">
      <c r="A1372" t="s">
        <v>2929</v>
      </c>
      <c r="B1372" t="s">
        <v>2930</v>
      </c>
      <c r="C1372" t="str">
        <f>LEFT(B1372,FIND(" ",B1372)-1)</f>
        <v>Bajaj</v>
      </c>
      <c r="D1372" t="str">
        <f>TRIM(RIGHT(E1372,LEN(E1372)-FIND("@",SUBSTITUTE(E1372,"|","@",LEN(E1372)-LEN(SUBSTITUTE(E1372,"|",""))))))</f>
        <v>HandMixers</v>
      </c>
      <c r="E1372" t="s">
        <v>2403</v>
      </c>
      <c r="F1372" s="1">
        <v>1499</v>
      </c>
      <c r="G1372" s="1">
        <v>2199</v>
      </c>
      <c r="H1372" s="6">
        <v>32</v>
      </c>
      <c r="I1372">
        <v>4.4000000000000004</v>
      </c>
      <c r="J1372" s="1">
        <v>6531</v>
      </c>
    </row>
    <row r="1373" spans="1:10">
      <c r="A1373" t="s">
        <v>2931</v>
      </c>
      <c r="B1373" t="s">
        <v>2932</v>
      </c>
      <c r="C1373" t="str">
        <f>LEFT(B1373,FIND(" ",B1373)-1)</f>
        <v>KNOWZA</v>
      </c>
      <c r="D1373" t="str">
        <f>TRIM(RIGHT(E1373,LEN(E1373)-FIND("@",SUBSTITUTE(E1373,"|","@",LEN(E1373)-LEN(SUBSTITUTE(E1373,"|",""))))))</f>
        <v>HandBlenders</v>
      </c>
      <c r="E1373" t="s">
        <v>2038</v>
      </c>
      <c r="F1373">
        <v>426</v>
      </c>
      <c r="G1373">
        <v>999</v>
      </c>
      <c r="H1373" s="6">
        <v>57</v>
      </c>
      <c r="I1373">
        <v>4.0999999999999996</v>
      </c>
      <c r="J1373">
        <v>222</v>
      </c>
    </row>
    <row r="1374" spans="1:10">
      <c r="A1374" t="s">
        <v>2933</v>
      </c>
      <c r="B1374" t="s">
        <v>2934</v>
      </c>
      <c r="C1374" t="str">
        <f>LEFT(B1374,FIND(" ",B1374)-1)</f>
        <v>Usha</v>
      </c>
      <c r="D1374" t="str">
        <f>TRIM(RIGHT(E1374,LEN(E1374)-FIND("@",SUBSTITUTE(E1374,"|","@",LEN(E1374)-LEN(SUBSTITUTE(E1374,"|",""))))))</f>
        <v>FanHeaters</v>
      </c>
      <c r="E1374" t="s">
        <v>2008</v>
      </c>
      <c r="F1374" s="1">
        <v>2320</v>
      </c>
      <c r="G1374" s="1">
        <v>3290</v>
      </c>
      <c r="H1374" s="6">
        <v>29</v>
      </c>
      <c r="I1374">
        <v>3.8</v>
      </c>
      <c r="J1374">
        <v>195</v>
      </c>
    </row>
    <row r="1375" spans="1:10">
      <c r="A1375" t="s">
        <v>2935</v>
      </c>
      <c r="B1375" t="s">
        <v>2936</v>
      </c>
      <c r="C1375" t="str">
        <f>LEFT(B1375,FIND(" ",B1375)-1)</f>
        <v>akiara</v>
      </c>
      <c r="D1375" t="str">
        <f>TRIM(RIGHT(E1375,LEN(E1375)-FIND("@",SUBSTITUTE(E1375,"|","@",LEN(E1375)-LEN(SUBSTITUTE(E1375,"|",""))))))</f>
        <v>Sewing&amp;EmbroideryMachines</v>
      </c>
      <c r="E1375" t="s">
        <v>2383</v>
      </c>
      <c r="F1375" s="1">
        <v>1563</v>
      </c>
      <c r="G1375" s="1">
        <v>3098</v>
      </c>
      <c r="H1375" s="6">
        <v>5</v>
      </c>
      <c r="I1375">
        <v>3.5</v>
      </c>
      <c r="J1375" s="1">
        <v>2283</v>
      </c>
    </row>
    <row r="1376" spans="1:10">
      <c r="A1376" t="s">
        <v>2937</v>
      </c>
      <c r="B1376" t="s">
        <v>2938</v>
      </c>
      <c r="C1376" t="str">
        <f>LEFT(B1376,FIND(" ",B1376)-1)</f>
        <v>USHA</v>
      </c>
      <c r="D1376" t="str">
        <f>TRIM(RIGHT(E1376,LEN(E1376)-FIND("@",SUBSTITUTE(E1376,"|","@",LEN(E1376)-LEN(SUBSTITUTE(E1376,"|",""))))))</f>
        <v>ElectricHeaters</v>
      </c>
      <c r="E1376" t="s">
        <v>2005</v>
      </c>
      <c r="F1376" s="3">
        <v>3487.77</v>
      </c>
      <c r="G1376" s="1">
        <v>4990</v>
      </c>
      <c r="H1376" s="6">
        <v>3</v>
      </c>
      <c r="I1376">
        <v>4.0999999999999996</v>
      </c>
      <c r="J1376" s="1">
        <v>1127</v>
      </c>
    </row>
    <row r="1377" spans="1:10">
      <c r="A1377" t="s">
        <v>2939</v>
      </c>
      <c r="B1377" t="s">
        <v>2940</v>
      </c>
      <c r="C1377" t="str">
        <f>LEFT(B1377,FIND(" ",B1377)-1)</f>
        <v>4</v>
      </c>
      <c r="D1377" t="str">
        <f>TRIM(RIGHT(E1377,LEN(E1377)-FIND("@",SUBSTITUTE(E1377,"|","@",LEN(E1377)-LEN(SUBSTITUTE(E1377,"|",""))))))</f>
        <v>MiniFoodProcessors&amp;Choppers</v>
      </c>
      <c r="E1377" t="s">
        <v>2151</v>
      </c>
      <c r="F1377">
        <v>498</v>
      </c>
      <c r="G1377" s="1">
        <v>1200</v>
      </c>
      <c r="H1377" s="6">
        <v>59</v>
      </c>
      <c r="I1377">
        <v>3.2</v>
      </c>
      <c r="J1377">
        <v>113</v>
      </c>
    </row>
    <row r="1378" spans="1:10">
      <c r="A1378" t="s">
        <v>2941</v>
      </c>
      <c r="B1378" t="s">
        <v>2942</v>
      </c>
      <c r="C1378" t="str">
        <f>LEFT(B1378,FIND(" ",B1378)-1)</f>
        <v>Philips</v>
      </c>
      <c r="D1378" t="str">
        <f>TRIM(RIGHT(E1378,LEN(E1378)-FIND("@",SUBSTITUTE(E1378,"|","@",LEN(E1378)-LEN(SUBSTITUTE(E1378,"|",""))))))</f>
        <v>ElectricKettles</v>
      </c>
      <c r="E1378" t="s">
        <v>2001</v>
      </c>
      <c r="F1378" s="1">
        <v>2695</v>
      </c>
      <c r="G1378" s="1">
        <v>2695</v>
      </c>
      <c r="H1378" s="6">
        <v>0</v>
      </c>
      <c r="I1378">
        <v>4.4000000000000004</v>
      </c>
      <c r="J1378" s="1">
        <v>2518</v>
      </c>
    </row>
    <row r="1379" spans="1:10">
      <c r="A1379" t="s">
        <v>2943</v>
      </c>
      <c r="B1379" t="s">
        <v>2944</v>
      </c>
      <c r="C1379" t="str">
        <f>LEFT(B1379,FIND(" ",B1379)-1)</f>
        <v>Libra</v>
      </c>
      <c r="D1379" t="str">
        <f>TRIM(RIGHT(E1379,LEN(E1379)-FIND("@",SUBSTITUTE(E1379,"|","@",LEN(E1379)-LEN(SUBSTITUTE(E1379,"|",""))))))</f>
        <v>ElectricHeaters</v>
      </c>
      <c r="E1379" t="s">
        <v>2005</v>
      </c>
      <c r="F1379">
        <v>949</v>
      </c>
      <c r="G1379" s="1">
        <v>2299</v>
      </c>
      <c r="H1379" s="6">
        <v>59</v>
      </c>
      <c r="I1379">
        <v>3.6</v>
      </c>
      <c r="J1379">
        <v>550</v>
      </c>
    </row>
    <row r="1380" spans="1:10">
      <c r="A1380" t="s">
        <v>2945</v>
      </c>
      <c r="B1380" t="s">
        <v>2946</v>
      </c>
      <c r="C1380" t="str">
        <f>LEFT(B1380,FIND(" ",B1380)-1)</f>
        <v>NGI</v>
      </c>
      <c r="D1380" t="str">
        <f>TRIM(RIGHT(E1380,LEN(E1380)-FIND("@",SUBSTITUTE(E1380,"|","@",LEN(E1380)-LEN(SUBSTITUTE(E1380,"|",""))))))</f>
        <v>LintShavers</v>
      </c>
      <c r="E1380" t="s">
        <v>2011</v>
      </c>
      <c r="F1380">
        <v>199</v>
      </c>
      <c r="G1380">
        <v>999</v>
      </c>
      <c r="H1380" s="6">
        <v>8</v>
      </c>
      <c r="I1380">
        <v>3.1</v>
      </c>
      <c r="J1380">
        <v>2</v>
      </c>
    </row>
    <row r="1381" spans="1:10">
      <c r="A1381" t="s">
        <v>2947</v>
      </c>
      <c r="B1381" t="s">
        <v>2948</v>
      </c>
      <c r="C1381" t="str">
        <f>LEFT(B1381,FIND(" ",B1381)-1)</f>
        <v>Noir</v>
      </c>
      <c r="D1381" t="str">
        <f>TRIM(RIGHT(E1381,LEN(E1381)-FIND("@",SUBSTITUTE(E1381,"|","@",LEN(E1381)-LEN(SUBSTITUTE(E1381,"|",""))))))</f>
        <v>WaterPurifierAccessories</v>
      </c>
      <c r="E1381" t="s">
        <v>2249</v>
      </c>
      <c r="F1381">
        <v>379</v>
      </c>
      <c r="G1381">
        <v>919</v>
      </c>
      <c r="H1381" s="6">
        <v>59</v>
      </c>
      <c r="I1381">
        <v>4</v>
      </c>
      <c r="J1381" s="1">
        <v>1090</v>
      </c>
    </row>
    <row r="1382" spans="1:10">
      <c r="A1382" t="s">
        <v>2949</v>
      </c>
      <c r="B1382" t="s">
        <v>2950</v>
      </c>
      <c r="C1382" t="str">
        <f>LEFT(B1382,FIND(" ",B1382)-1)</f>
        <v>Prestige</v>
      </c>
      <c r="D1382" t="str">
        <f>TRIM(RIGHT(E1382,LEN(E1382)-FIND("@",SUBSTITUTE(E1382,"|","@",LEN(E1382)-LEN(SUBSTITUTE(E1382,"|",""))))))</f>
        <v>Rice&amp;PastaCookers</v>
      </c>
      <c r="E1382" t="s">
        <v>2263</v>
      </c>
      <c r="F1382" s="1">
        <v>2280</v>
      </c>
      <c r="G1382" s="1">
        <v>3045</v>
      </c>
      <c r="H1382" s="6">
        <v>25</v>
      </c>
      <c r="I1382">
        <v>4.0999999999999996</v>
      </c>
      <c r="J1382" s="1">
        <v>4118</v>
      </c>
    </row>
    <row r="1383" spans="1:10">
      <c r="A1383" t="s">
        <v>2951</v>
      </c>
      <c r="B1383" t="s">
        <v>2952</v>
      </c>
      <c r="C1383" t="str">
        <f>LEFT(B1383,FIND(" ",B1383)-1)</f>
        <v>Bajaj</v>
      </c>
      <c r="D1383" t="str">
        <f>TRIM(RIGHT(E1383,LEN(E1383)-FIND("@",SUBSTITUTE(E1383,"|","@",LEN(E1383)-LEN(SUBSTITUTE(E1383,"|",""))))))</f>
        <v>HeatConvectors</v>
      </c>
      <c r="E1383" t="s">
        <v>2215</v>
      </c>
      <c r="F1383" s="1">
        <v>2219</v>
      </c>
      <c r="G1383" s="1">
        <v>3080</v>
      </c>
      <c r="H1383" s="6">
        <v>28</v>
      </c>
      <c r="I1383">
        <v>3.6</v>
      </c>
      <c r="J1383">
        <v>468</v>
      </c>
    </row>
    <row r="1384" spans="1:10">
      <c r="A1384" t="s">
        <v>2953</v>
      </c>
      <c r="B1384" t="s">
        <v>2954</v>
      </c>
      <c r="C1384" t="str">
        <f>LEFT(B1384,FIND(" ",B1384)-1)</f>
        <v>Havells</v>
      </c>
      <c r="D1384" t="str">
        <f>TRIM(RIGHT(E1384,LEN(E1384)-FIND("@",SUBSTITUTE(E1384,"|","@",LEN(E1384)-LEN(SUBSTITUTE(E1384,"|",""))))))</f>
        <v>ExhaustFans</v>
      </c>
      <c r="E1384" t="s">
        <v>2239</v>
      </c>
      <c r="F1384" s="1">
        <v>1399</v>
      </c>
      <c r="G1384" s="1">
        <v>1890</v>
      </c>
      <c r="H1384" s="6">
        <v>26</v>
      </c>
      <c r="I1384">
        <v>4</v>
      </c>
      <c r="J1384" s="1">
        <v>8031</v>
      </c>
    </row>
    <row r="1385" spans="1:10">
      <c r="A1385" t="s">
        <v>2955</v>
      </c>
      <c r="B1385" t="s">
        <v>2956</v>
      </c>
      <c r="C1385" t="str">
        <f>LEFT(B1385,FIND(" ",B1385)-1)</f>
        <v>Borosil</v>
      </c>
      <c r="D1385" t="str">
        <f>TRIM(RIGHT(E1385,LEN(E1385)-FIND("@",SUBSTITUTE(E1385,"|","@",LEN(E1385)-LEN(SUBSTITUTE(E1385,"|",""))))))</f>
        <v>SandwichMakers</v>
      </c>
      <c r="E1385" t="s">
        <v>2124</v>
      </c>
      <c r="F1385" s="1">
        <v>2863</v>
      </c>
      <c r="G1385" s="1">
        <v>3690</v>
      </c>
      <c r="H1385" s="6">
        <v>22</v>
      </c>
      <c r="I1385">
        <v>4.3</v>
      </c>
      <c r="J1385" s="1">
        <v>6987</v>
      </c>
    </row>
    <row r="1386" spans="1:10">
      <c r="H1386"/>
    </row>
    <row r="1387" spans="1:10">
      <c r="H1387"/>
    </row>
    <row r="1388" spans="1:10">
      <c r="H1388"/>
    </row>
    <row r="1389" spans="1:10">
      <c r="H1389"/>
    </row>
    <row r="1390" spans="1:10">
      <c r="H1390"/>
    </row>
    <row r="1391" spans="1:10">
      <c r="H1391"/>
    </row>
    <row r="1392" spans="1:10">
      <c r="H1392"/>
    </row>
    <row r="1393" spans="8:8">
      <c r="H1393"/>
    </row>
    <row r="1394" spans="8:8">
      <c r="H1394"/>
    </row>
    <row r="1395" spans="8:8">
      <c r="H1395"/>
    </row>
    <row r="1396" spans="8:8">
      <c r="H1396"/>
    </row>
    <row r="1397" spans="8:8">
      <c r="H1397"/>
    </row>
    <row r="1398" spans="8:8">
      <c r="H1398"/>
    </row>
    <row r="1399" spans="8:8">
      <c r="H1399"/>
    </row>
    <row r="1400" spans="8:8">
      <c r="H1400"/>
    </row>
    <row r="1401" spans="8:8">
      <c r="H1401"/>
    </row>
    <row r="1402" spans="8:8">
      <c r="H1402"/>
    </row>
    <row r="1403" spans="8:8">
      <c r="H1403"/>
    </row>
    <row r="1404" spans="8:8">
      <c r="H1404"/>
    </row>
    <row r="1405" spans="8:8">
      <c r="H1405"/>
    </row>
    <row r="1406" spans="8:8">
      <c r="H1406"/>
    </row>
    <row r="1407" spans="8:8">
      <c r="H1407"/>
    </row>
    <row r="1408" spans="8:8">
      <c r="H1408"/>
    </row>
    <row r="1409" spans="8:8">
      <c r="H1409"/>
    </row>
    <row r="1410" spans="8:8">
      <c r="H1410"/>
    </row>
    <row r="1411" spans="8:8">
      <c r="H1411"/>
    </row>
    <row r="1412" spans="8:8">
      <c r="H1412"/>
    </row>
    <row r="1413" spans="8:8">
      <c r="H1413"/>
    </row>
    <row r="1414" spans="8:8">
      <c r="H1414"/>
    </row>
    <row r="1415" spans="8:8">
      <c r="H1415"/>
    </row>
    <row r="1416" spans="8:8">
      <c r="H1416"/>
    </row>
    <row r="1417" spans="8:8">
      <c r="H1417"/>
    </row>
    <row r="1418" spans="8:8">
      <c r="H1418"/>
    </row>
    <row r="1419" spans="8:8">
      <c r="H1419"/>
    </row>
    <row r="1420" spans="8:8">
      <c r="H1420"/>
    </row>
    <row r="1421" spans="8:8">
      <c r="H1421"/>
    </row>
    <row r="1422" spans="8:8">
      <c r="H1422"/>
    </row>
    <row r="1423" spans="8:8">
      <c r="H1423"/>
    </row>
    <row r="1424" spans="8:8">
      <c r="H1424"/>
    </row>
    <row r="1425" spans="8:8">
      <c r="H1425"/>
    </row>
    <row r="1426" spans="8:8">
      <c r="H1426"/>
    </row>
    <row r="1427" spans="8:8">
      <c r="H1427"/>
    </row>
    <row r="1428" spans="8:8">
      <c r="H1428"/>
    </row>
    <row r="1429" spans="8:8">
      <c r="H1429"/>
    </row>
    <row r="1430" spans="8:8">
      <c r="H1430"/>
    </row>
    <row r="1431" spans="8:8">
      <c r="H1431"/>
    </row>
    <row r="1432" spans="8:8">
      <c r="H1432"/>
    </row>
    <row r="1433" spans="8:8">
      <c r="H1433"/>
    </row>
    <row r="1434" spans="8:8">
      <c r="H1434"/>
    </row>
    <row r="1435" spans="8:8">
      <c r="H1435"/>
    </row>
    <row r="1436" spans="8:8">
      <c r="H1436"/>
    </row>
    <row r="1437" spans="8:8">
      <c r="H1437"/>
    </row>
    <row r="1438" spans="8:8">
      <c r="H1438"/>
    </row>
    <row r="1439" spans="8:8">
      <c r="H1439"/>
    </row>
    <row r="1440" spans="8:8">
      <c r="H1440"/>
    </row>
    <row r="1441" spans="8:8">
      <c r="H1441"/>
    </row>
    <row r="1442" spans="8:8">
      <c r="H1442"/>
    </row>
    <row r="1443" spans="8:8">
      <c r="H1443"/>
    </row>
    <row r="1444" spans="8:8">
      <c r="H1444"/>
    </row>
    <row r="1445" spans="8:8">
      <c r="H1445"/>
    </row>
    <row r="1446" spans="8:8">
      <c r="H1446"/>
    </row>
    <row r="1447" spans="8:8">
      <c r="H1447"/>
    </row>
    <row r="1448" spans="8:8">
      <c r="H1448"/>
    </row>
    <row r="1449" spans="8:8">
      <c r="H1449"/>
    </row>
    <row r="1450" spans="8:8">
      <c r="H1450"/>
    </row>
    <row r="1451" spans="8:8">
      <c r="H1451"/>
    </row>
    <row r="1452" spans="8:8">
      <c r="H1452"/>
    </row>
    <row r="1453" spans="8:8">
      <c r="H1453"/>
    </row>
    <row r="1454" spans="8:8">
      <c r="H1454"/>
    </row>
    <row r="1455" spans="8:8">
      <c r="H1455"/>
    </row>
    <row r="1456" spans="8:8">
      <c r="H1456"/>
    </row>
    <row r="1457" spans="8:8">
      <c r="H1457"/>
    </row>
    <row r="1458" spans="8:8">
      <c r="H1458"/>
    </row>
    <row r="1459" spans="8:8">
      <c r="H1459"/>
    </row>
    <row r="1460" spans="8:8">
      <c r="H1460"/>
    </row>
    <row r="1461" spans="8:8">
      <c r="H1461"/>
    </row>
    <row r="1462" spans="8:8">
      <c r="H1462"/>
    </row>
    <row r="1463" spans="8:8">
      <c r="H1463"/>
    </row>
    <row r="1464" spans="8:8">
      <c r="H1464"/>
    </row>
    <row r="1465" spans="8:8">
      <c r="H1465"/>
    </row>
    <row r="1466" spans="8:8">
      <c r="H146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2026-01-11T08:28:05Z</dcterms:created>
  <dcterms:modified xsi:type="dcterms:W3CDTF">2026-01-11T10:29:59Z</dcterms:modified>
  <cp:category/>
  <cp:contentStatus/>
</cp:coreProperties>
</file>